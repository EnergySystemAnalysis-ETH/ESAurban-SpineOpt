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jiahuang_ethz_ch/Documents/Desktop/ESA D-MAVT/PhD research/ModellingLocal/ESAurban-SpineOpt/SpineOptInputConfigs/"/>
    </mc:Choice>
  </mc:AlternateContent>
  <xr:revisionPtr revIDLastSave="122" documentId="11_69E2A32EA847B44E2B09CAFD4C3FA92527743FA3" xr6:coauthVersionLast="47" xr6:coauthVersionMax="47" xr10:uidLastSave="{BBA07A0F-4A11-46AD-AD1D-516E8D893785}"/>
  <bookViews>
    <workbookView xWindow="38280" yWindow="-120" windowWidth="38640" windowHeight="21120" tabRatio="500" activeTab="2" xr2:uid="{00000000-000D-0000-FFFF-FFFF00000000}"/>
  </bookViews>
  <sheets>
    <sheet name="unit" sheetId="1" r:id="rId1"/>
    <sheet name="unit_from_node" sheetId="2" r:id="rId2"/>
    <sheet name="unit_to_node" sheetId="3" r:id="rId3"/>
    <sheet name="no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22" i="2" l="1"/>
  <c r="E24" i="2"/>
  <c r="E31" i="2"/>
  <c r="E32" i="2"/>
  <c r="E34" i="2"/>
  <c r="E36" i="2"/>
  <c r="E38" i="2"/>
  <c r="E40" i="2"/>
  <c r="E42" i="2"/>
  <c r="E44" i="2"/>
  <c r="E46" i="2"/>
  <c r="E48" i="2"/>
  <c r="E55" i="2"/>
  <c r="E59" i="2"/>
  <c r="E60" i="2"/>
  <c r="E61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2" i="2"/>
  <c r="E84" i="2"/>
  <c r="E86" i="2"/>
  <c r="E87" i="2"/>
  <c r="E88" i="2"/>
  <c r="E90" i="2"/>
  <c r="E92" i="2"/>
  <c r="E94" i="2"/>
  <c r="E96" i="2"/>
  <c r="E99" i="2"/>
  <c r="E101" i="2"/>
  <c r="E103" i="2"/>
  <c r="E105" i="2"/>
  <c r="E107" i="2"/>
  <c r="E109" i="2"/>
  <c r="E111" i="2"/>
  <c r="E113" i="2"/>
  <c r="E115" i="2"/>
  <c r="E116" i="2"/>
  <c r="E117" i="2"/>
  <c r="E118" i="2"/>
  <c r="E119" i="2"/>
  <c r="E120" i="2"/>
  <c r="E121" i="2"/>
  <c r="E122" i="2"/>
  <c r="E124" i="2"/>
  <c r="E126" i="2"/>
  <c r="E129" i="2"/>
  <c r="E131" i="2"/>
  <c r="E133" i="2"/>
  <c r="E135" i="2"/>
  <c r="E137" i="2"/>
  <c r="E139" i="2"/>
  <c r="E140" i="2"/>
  <c r="E141" i="2"/>
  <c r="E142" i="2"/>
  <c r="E143" i="2"/>
  <c r="E144" i="2"/>
  <c r="E145" i="2"/>
  <c r="E146" i="2"/>
  <c r="E147" i="2"/>
  <c r="E148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D22" i="2"/>
  <c r="D23" i="2"/>
  <c r="E23" i="2" s="1"/>
  <c r="D24" i="2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D32" i="2"/>
  <c r="D33" i="2"/>
  <c r="E33" i="2" s="1"/>
  <c r="D34" i="2"/>
  <c r="D35" i="2"/>
  <c r="E35" i="2" s="1"/>
  <c r="D36" i="2"/>
  <c r="D37" i="2"/>
  <c r="E37" i="2" s="1"/>
  <c r="D38" i="2"/>
  <c r="D39" i="2"/>
  <c r="E39" i="2" s="1"/>
  <c r="D40" i="2"/>
  <c r="D41" i="2"/>
  <c r="E41" i="2" s="1"/>
  <c r="D42" i="2"/>
  <c r="D43" i="2"/>
  <c r="E43" i="2" s="1"/>
  <c r="D44" i="2"/>
  <c r="D45" i="2"/>
  <c r="E45" i="2" s="1"/>
  <c r="D46" i="2"/>
  <c r="D47" i="2"/>
  <c r="E47" i="2" s="1"/>
  <c r="D48" i="2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D56" i="2"/>
  <c r="E56" i="2" s="1"/>
  <c r="D57" i="2"/>
  <c r="E57" i="2" s="1"/>
  <c r="D58" i="2"/>
  <c r="E58" i="2" s="1"/>
  <c r="D59" i="2"/>
  <c r="D60" i="2"/>
  <c r="D61" i="2"/>
  <c r="D62" i="2"/>
  <c r="E62" i="2" s="1"/>
  <c r="D63" i="2"/>
  <c r="E63" i="2" s="1"/>
  <c r="D64" i="2"/>
  <c r="E64" i="2" s="1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E81" i="2" s="1"/>
  <c r="D82" i="2"/>
  <c r="D83" i="2"/>
  <c r="E83" i="2" s="1"/>
  <c r="D84" i="2"/>
  <c r="D85" i="2"/>
  <c r="E85" i="2" s="1"/>
  <c r="D86" i="2"/>
  <c r="D87" i="2"/>
  <c r="D88" i="2"/>
  <c r="D89" i="2"/>
  <c r="E89" i="2" s="1"/>
  <c r="D90" i="2"/>
  <c r="D91" i="2"/>
  <c r="E91" i="2" s="1"/>
  <c r="D92" i="2"/>
  <c r="D93" i="2"/>
  <c r="E93" i="2" s="1"/>
  <c r="D94" i="2"/>
  <c r="D95" i="2"/>
  <c r="E95" i="2" s="1"/>
  <c r="D96" i="2"/>
  <c r="D97" i="2"/>
  <c r="E97" i="2" s="1"/>
  <c r="D98" i="2"/>
  <c r="E98" i="2" s="1"/>
  <c r="D99" i="2"/>
  <c r="D100" i="2"/>
  <c r="E100" i="2" s="1"/>
  <c r="D101" i="2"/>
  <c r="D102" i="2"/>
  <c r="E102" i="2" s="1"/>
  <c r="D103" i="2"/>
  <c r="D104" i="2"/>
  <c r="E104" i="2" s="1"/>
  <c r="D105" i="2"/>
  <c r="D106" i="2"/>
  <c r="E106" i="2" s="1"/>
  <c r="D107" i="2"/>
  <c r="D108" i="2"/>
  <c r="E108" i="2" s="1"/>
  <c r="D109" i="2"/>
  <c r="D110" i="2"/>
  <c r="E110" i="2" s="1"/>
  <c r="D111" i="2"/>
  <c r="D112" i="2"/>
  <c r="E112" i="2" s="1"/>
  <c r="D113" i="2"/>
  <c r="D114" i="2"/>
  <c r="E114" i="2" s="1"/>
  <c r="D115" i="2"/>
  <c r="D116" i="2"/>
  <c r="D117" i="2"/>
  <c r="D118" i="2"/>
  <c r="D119" i="2"/>
  <c r="D120" i="2"/>
  <c r="D121" i="2"/>
  <c r="D122" i="2"/>
  <c r="D123" i="2"/>
  <c r="E123" i="2" s="1"/>
  <c r="D124" i="2"/>
  <c r="D125" i="2"/>
  <c r="E125" i="2" s="1"/>
  <c r="D126" i="2"/>
  <c r="D127" i="2"/>
  <c r="E127" i="2" s="1"/>
  <c r="D128" i="2"/>
  <c r="E128" i="2" s="1"/>
  <c r="D129" i="2"/>
  <c r="D130" i="2"/>
  <c r="E130" i="2" s="1"/>
  <c r="D131" i="2"/>
  <c r="D132" i="2"/>
  <c r="E132" i="2" s="1"/>
  <c r="D133" i="2"/>
  <c r="D134" i="2"/>
  <c r="E134" i="2" s="1"/>
  <c r="D135" i="2"/>
  <c r="D136" i="2"/>
  <c r="E136" i="2" s="1"/>
  <c r="D137" i="2"/>
  <c r="D138" i="2"/>
  <c r="E138" i="2" s="1"/>
  <c r="D139" i="2"/>
  <c r="D140" i="2"/>
  <c r="D141" i="2"/>
  <c r="D142" i="2"/>
  <c r="D143" i="2"/>
  <c r="D144" i="2"/>
  <c r="D145" i="2"/>
  <c r="D146" i="2"/>
  <c r="D147" i="2"/>
  <c r="D148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E21" i="2" s="1"/>
  <c r="D7" i="3"/>
  <c r="D8" i="3"/>
  <c r="D9" i="3"/>
  <c r="D10" i="3"/>
  <c r="D11" i="3"/>
  <c r="E11" i="3" s="1"/>
  <c r="D12" i="3"/>
  <c r="D13" i="3"/>
  <c r="E13" i="3" s="1"/>
  <c r="D14" i="3"/>
  <c r="D15" i="3"/>
  <c r="D16" i="3"/>
  <c r="D17" i="3"/>
  <c r="D18" i="3"/>
  <c r="D19" i="3"/>
  <c r="E19" i="3" s="1"/>
  <c r="D20" i="3"/>
  <c r="D21" i="3"/>
  <c r="E21" i="3" s="1"/>
  <c r="D22" i="3"/>
  <c r="D23" i="3"/>
  <c r="E23" i="3" s="1"/>
  <c r="D24" i="3"/>
  <c r="D25" i="3"/>
  <c r="D26" i="3"/>
  <c r="D27" i="3"/>
  <c r="E27" i="3" s="1"/>
  <c r="D28" i="3"/>
  <c r="D29" i="3"/>
  <c r="E29" i="3" s="1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E43" i="3" s="1"/>
  <c r="D44" i="3"/>
  <c r="D45" i="3"/>
  <c r="E45" i="3" s="1"/>
  <c r="D46" i="3"/>
  <c r="D47" i="3"/>
  <c r="D48" i="3"/>
  <c r="D49" i="3"/>
  <c r="D50" i="3"/>
  <c r="D51" i="3"/>
  <c r="E51" i="3" s="1"/>
  <c r="D52" i="3"/>
  <c r="D53" i="3"/>
  <c r="E53" i="3" s="1"/>
  <c r="D54" i="3"/>
  <c r="D55" i="3"/>
  <c r="E55" i="3" s="1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E76" i="3" s="1"/>
  <c r="D77" i="3"/>
  <c r="D78" i="3"/>
  <c r="D79" i="3"/>
  <c r="D80" i="3"/>
  <c r="E80" i="3" s="1"/>
  <c r="D81" i="3"/>
  <c r="D82" i="3"/>
  <c r="D83" i="3"/>
  <c r="D84" i="3"/>
  <c r="D85" i="3"/>
  <c r="E85" i="3" s="1"/>
  <c r="D86" i="3"/>
  <c r="D87" i="3"/>
  <c r="E87" i="3" s="1"/>
  <c r="D88" i="3"/>
  <c r="D89" i="3"/>
  <c r="D90" i="3"/>
  <c r="D91" i="3"/>
  <c r="E91" i="3" s="1"/>
  <c r="D92" i="3"/>
  <c r="E92" i="3" s="1"/>
  <c r="D93" i="3"/>
  <c r="D94" i="3"/>
  <c r="D95" i="3"/>
  <c r="E95" i="3" s="1"/>
  <c r="D96" i="3"/>
  <c r="E96" i="3" s="1"/>
  <c r="D97" i="3"/>
  <c r="D98" i="3"/>
  <c r="E98" i="3" s="1"/>
  <c r="D99" i="3"/>
  <c r="E99" i="3" s="1"/>
  <c r="D100" i="3"/>
  <c r="E100" i="3" s="1"/>
  <c r="D101" i="3"/>
  <c r="E101" i="3" s="1"/>
  <c r="D102" i="3"/>
  <c r="D103" i="3"/>
  <c r="D104" i="3"/>
  <c r="E104" i="3" s="1"/>
  <c r="D105" i="3"/>
  <c r="D106" i="3"/>
  <c r="E106" i="3" s="1"/>
  <c r="D107" i="3"/>
  <c r="D108" i="3"/>
  <c r="E108" i="3" s="1"/>
  <c r="D109" i="3"/>
  <c r="D110" i="3"/>
  <c r="D111" i="3"/>
  <c r="D112" i="3"/>
  <c r="E112" i="3" s="1"/>
  <c r="D113" i="3"/>
  <c r="D114" i="3"/>
  <c r="E114" i="3" s="1"/>
  <c r="D115" i="3"/>
  <c r="D116" i="3"/>
  <c r="E116" i="3" s="1"/>
  <c r="D117" i="3"/>
  <c r="D118" i="3"/>
  <c r="D119" i="3"/>
  <c r="D120" i="3"/>
  <c r="E120" i="3" s="1"/>
  <c r="D121" i="3"/>
  <c r="D122" i="3"/>
  <c r="D123" i="3"/>
  <c r="E123" i="3" s="1"/>
  <c r="D124" i="3"/>
  <c r="D125" i="3"/>
  <c r="E125" i="3" s="1"/>
  <c r="D126" i="3"/>
  <c r="D127" i="3"/>
  <c r="E127" i="3" s="1"/>
  <c r="D128" i="3"/>
  <c r="D129" i="3"/>
  <c r="D130" i="3"/>
  <c r="D131" i="3"/>
  <c r="E131" i="3" s="1"/>
  <c r="D132" i="3"/>
  <c r="D133" i="3"/>
  <c r="D134" i="3"/>
  <c r="D135" i="3"/>
  <c r="E135" i="3" s="1"/>
  <c r="D136" i="3"/>
  <c r="D137" i="3"/>
  <c r="D138" i="3"/>
  <c r="D139" i="3"/>
  <c r="D140" i="3"/>
  <c r="E140" i="3" s="1"/>
  <c r="D141" i="3"/>
  <c r="D142" i="3"/>
  <c r="D143" i="3"/>
  <c r="D144" i="3"/>
  <c r="E144" i="3" s="1"/>
  <c r="D145" i="3"/>
  <c r="D146" i="3"/>
  <c r="E146" i="3" s="1"/>
  <c r="D147" i="3"/>
  <c r="D148" i="3"/>
  <c r="E148" i="3" s="1"/>
  <c r="D149" i="3"/>
  <c r="D150" i="3"/>
  <c r="D151" i="3"/>
  <c r="D152" i="3"/>
  <c r="E152" i="3" s="1"/>
  <c r="D153" i="3"/>
  <c r="D154" i="3"/>
  <c r="D155" i="3"/>
  <c r="E155" i="3" s="1"/>
  <c r="D156" i="3"/>
  <c r="D157" i="3"/>
  <c r="E157" i="3" s="1"/>
  <c r="D158" i="3"/>
  <c r="D159" i="3"/>
  <c r="E159" i="3" s="1"/>
  <c r="D160" i="3"/>
  <c r="E160" i="3" s="1"/>
  <c r="D161" i="3"/>
  <c r="D162" i="3"/>
  <c r="E162" i="3" s="1"/>
  <c r="D163" i="3"/>
  <c r="E163" i="3" s="1"/>
  <c r="D164" i="3"/>
  <c r="E164" i="3" s="1"/>
  <c r="D165" i="3"/>
  <c r="E165" i="3" s="1"/>
  <c r="D166" i="3"/>
  <c r="D167" i="3"/>
  <c r="D168" i="3"/>
  <c r="D169" i="3"/>
  <c r="D170" i="3"/>
  <c r="E170" i="3" s="1"/>
  <c r="D171" i="3"/>
  <c r="D172" i="3"/>
  <c r="E172" i="3" s="1"/>
  <c r="D173" i="3"/>
  <c r="D174" i="3"/>
  <c r="D175" i="3"/>
  <c r="D176" i="3"/>
  <c r="E176" i="3" s="1"/>
  <c r="D177" i="3"/>
  <c r="D178" i="3"/>
  <c r="E178" i="3" s="1"/>
  <c r="D179" i="3"/>
  <c r="E179" i="3" s="1"/>
  <c r="D180" i="3"/>
  <c r="E180" i="3" s="1"/>
  <c r="D181" i="3"/>
  <c r="E181" i="3" s="1"/>
  <c r="D182" i="3"/>
  <c r="D183" i="3"/>
  <c r="E183" i="3" s="1"/>
  <c r="D184" i="3"/>
  <c r="D185" i="3"/>
  <c r="D186" i="3"/>
  <c r="D187" i="3"/>
  <c r="E187" i="3" s="1"/>
  <c r="D188" i="3"/>
  <c r="D189" i="3"/>
  <c r="E189" i="3" s="1"/>
  <c r="D190" i="3"/>
  <c r="D191" i="3"/>
  <c r="E191" i="3" s="1"/>
  <c r="D192" i="3"/>
  <c r="D193" i="3"/>
  <c r="E193" i="3" s="1"/>
  <c r="D194" i="3"/>
  <c r="D195" i="3"/>
  <c r="E195" i="3" s="1"/>
  <c r="D196" i="3"/>
  <c r="E196" i="3" s="1"/>
  <c r="D197" i="3"/>
  <c r="D198" i="3"/>
  <c r="E198" i="3" s="1"/>
  <c r="D199" i="3"/>
  <c r="E199" i="3" s="1"/>
  <c r="D200" i="3"/>
  <c r="D201" i="3"/>
  <c r="E201" i="3" s="1"/>
  <c r="D202" i="3"/>
  <c r="E202" i="3" s="1"/>
  <c r="D4" i="3"/>
  <c r="E4" i="3" s="1"/>
  <c r="D5" i="3"/>
  <c r="E5" i="3" s="1"/>
  <c r="D6" i="3"/>
  <c r="E6" i="3" s="1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00" i="3"/>
  <c r="E197" i="3"/>
  <c r="E194" i="3"/>
  <c r="E192" i="3"/>
  <c r="E190" i="3"/>
  <c r="E188" i="3"/>
  <c r="E186" i="3"/>
  <c r="E185" i="3"/>
  <c r="E184" i="3"/>
  <c r="E182" i="3"/>
  <c r="E177" i="3"/>
  <c r="E175" i="3"/>
  <c r="E174" i="3"/>
  <c r="E173" i="3"/>
  <c r="E171" i="3"/>
  <c r="E169" i="3"/>
  <c r="E168" i="3"/>
  <c r="E167" i="3"/>
  <c r="E166" i="3"/>
  <c r="E161" i="3"/>
  <c r="E158" i="3"/>
  <c r="E156" i="3"/>
  <c r="E154" i="3"/>
  <c r="E153" i="3"/>
  <c r="E151" i="3"/>
  <c r="E150" i="3"/>
  <c r="E149" i="3"/>
  <c r="E147" i="3"/>
  <c r="E145" i="3"/>
  <c r="E143" i="3"/>
  <c r="E142" i="3"/>
  <c r="E141" i="3"/>
  <c r="E139" i="3"/>
  <c r="E138" i="3"/>
  <c r="E137" i="3"/>
  <c r="E136" i="3"/>
  <c r="E134" i="3"/>
  <c r="E133" i="3"/>
  <c r="E132" i="3"/>
  <c r="E130" i="3"/>
  <c r="E129" i="3"/>
  <c r="E128" i="3"/>
  <c r="E126" i="3"/>
  <c r="E124" i="3"/>
  <c r="E122" i="3"/>
  <c r="E121" i="3"/>
  <c r="E119" i="3"/>
  <c r="E118" i="3"/>
  <c r="E117" i="3"/>
  <c r="E115" i="3"/>
  <c r="E113" i="3"/>
  <c r="E111" i="3"/>
  <c r="E110" i="3"/>
  <c r="E109" i="3"/>
  <c r="E107" i="3"/>
  <c r="E105" i="3"/>
  <c r="E103" i="3"/>
  <c r="E102" i="3"/>
  <c r="E97" i="3"/>
  <c r="E94" i="3"/>
  <c r="E93" i="3"/>
  <c r="E90" i="3"/>
  <c r="E89" i="3"/>
  <c r="E88" i="3"/>
  <c r="E86" i="3"/>
  <c r="E84" i="3"/>
  <c r="E83" i="3"/>
  <c r="E82" i="3"/>
  <c r="E81" i="3"/>
  <c r="E79" i="3"/>
  <c r="E78" i="3"/>
  <c r="E77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4" i="3"/>
  <c r="E52" i="3"/>
  <c r="E50" i="3"/>
  <c r="E49" i="3"/>
  <c r="E48" i="3"/>
  <c r="E47" i="3"/>
  <c r="E46" i="3"/>
  <c r="E44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8" i="3"/>
  <c r="E26" i="3"/>
  <c r="E25" i="3"/>
  <c r="E24" i="3"/>
  <c r="E22" i="3"/>
  <c r="E20" i="3"/>
  <c r="E18" i="3"/>
  <c r="E17" i="3"/>
  <c r="E16" i="3"/>
  <c r="E15" i="3"/>
  <c r="E14" i="3"/>
  <c r="E12" i="3"/>
  <c r="E10" i="3"/>
  <c r="E9" i="3"/>
  <c r="E8" i="3"/>
  <c r="E7" i="3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 Jiangyi</author>
  </authors>
  <commentList>
    <comment ref="A1" authorId="0" shapeId="0" xr:uid="{613186EA-D21A-49D1-A2D0-C58B1240A2EE}">
      <text>
        <r>
          <rPr>
            <b/>
            <sz val="9"/>
            <color indexed="81"/>
            <rFont val="Tahoma"/>
            <charset val="1"/>
          </rPr>
          <t>Huang  Jiangyi:</t>
        </r>
        <r>
          <rPr>
            <sz val="9"/>
            <color indexed="81"/>
            <rFont val="Tahoma"/>
            <charset val="1"/>
          </rPr>
          <t xml:space="preserve">
- DB editer Table mode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 Jiangyi</author>
  </authors>
  <commentList>
    <comment ref="A1" authorId="0" shapeId="0" xr:uid="{0941AC54-3CAD-47D1-B8CB-908131331821}">
      <text>
        <r>
          <rPr>
            <b/>
            <sz val="9"/>
            <color indexed="81"/>
            <rFont val="Tahoma"/>
            <charset val="1"/>
          </rPr>
          <t>Huang  Jiangyi:</t>
        </r>
        <r>
          <rPr>
            <sz val="9"/>
            <color indexed="81"/>
            <rFont val="Tahoma"/>
            <charset val="1"/>
          </rPr>
          <t xml:space="preserve">
- DB editer #Value mode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 Jiangyi</author>
  </authors>
  <commentList>
    <comment ref="A1" authorId="0" shapeId="0" xr:uid="{31A90A78-5AD8-4FF7-BB77-0E1E39FB645F}">
      <text>
        <r>
          <rPr>
            <b/>
            <sz val="9"/>
            <color indexed="81"/>
            <rFont val="Tahoma"/>
            <charset val="1"/>
          </rPr>
          <t>Huang  Jiangyi:</t>
        </r>
        <r>
          <rPr>
            <sz val="9"/>
            <color indexed="81"/>
            <rFont val="Tahoma"/>
            <charset val="1"/>
          </rPr>
          <t xml:space="preserve">
- DB editer #Value mode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 Jiangyi</author>
  </authors>
  <commentList>
    <comment ref="A1" authorId="0" shapeId="0" xr:uid="{1C7CB24E-1994-45A1-A9F6-C5B31CB57E0B}">
      <text>
        <r>
          <rPr>
            <b/>
            <sz val="9"/>
            <color indexed="81"/>
            <rFont val="Tahoma"/>
            <charset val="1"/>
          </rPr>
          <t>Huang  Jiangyi:</t>
        </r>
        <r>
          <rPr>
            <sz val="9"/>
            <color indexed="81"/>
            <rFont val="Tahoma"/>
            <charset val="1"/>
          </rPr>
          <t xml:space="preserve">
- DB editer Table mode</t>
        </r>
      </text>
    </comment>
  </commentList>
</comments>
</file>

<file path=xl/sharedStrings.xml><?xml version="1.0" encoding="utf-8"?>
<sst xmlns="http://schemas.openxmlformats.org/spreadsheetml/2006/main" count="1039" uniqueCount="204">
  <si>
    <t>parameter</t>
  </si>
  <si>
    <t>candidate_units</t>
  </si>
  <si>
    <t>unit_investment_cost</t>
  </si>
  <si>
    <t>candidate_units (MGA)</t>
  </si>
  <si>
    <t>unit_investment_cost (MGA)</t>
  </si>
  <si>
    <t>unit</t>
  </si>
  <si>
    <t>ElecImport_Town</t>
  </si>
  <si>
    <t>Electric Heater (MFH 80kW)_Anglikon_B-LVL_MFH</t>
  </si>
  <si>
    <t>Electric Heater (MFH 80kW)_Oberdorf_B-LVL_MFH</t>
  </si>
  <si>
    <t>Electric Heater (MFH 80kW)_Town_B-LVL_MFH</t>
  </si>
  <si>
    <t>Electric Heater (SFH 17kW)_Anglikon_B-LVL_SFH</t>
  </si>
  <si>
    <t>Electric Heater (SFH 17kW)_Oberdorf_B-LVL_SFH</t>
  </si>
  <si>
    <t>Electric Heater (SFH 17kW)_Town_B-LVL_SFH</t>
  </si>
  <si>
    <t>Gas Heater (MFH 80kW)_Anglikon_B-LVL_MFH</t>
  </si>
  <si>
    <t>Gas Heater (MFH 80kW)_Oberdorf_B-LVL_MFH</t>
  </si>
  <si>
    <t>Gas Heater (MFH 80kW)_Town_B-LVL_MFH</t>
  </si>
  <si>
    <t>Gas Heater (SFH 17kW)_Anglikon_B-LVL_SFH</t>
  </si>
  <si>
    <t>Gas Heater (SFH 17kW)_Oberdorf_B-LVL_SFH</t>
  </si>
  <si>
    <t>Gas Heater (SFH 17kW)_Town_B-LVL_SFH</t>
  </si>
  <si>
    <t>Gas Turbine (40 MW)_D-LVL_Anglikon</t>
  </si>
  <si>
    <t>Gas Turbine (40 MW)_D-LVL_Oberdorf</t>
  </si>
  <si>
    <t>Gas Turbine (40 MW)_D-LVL_Town</t>
  </si>
  <si>
    <t>H2 Cavern 150GWh_D-LVL_Anglikon</t>
  </si>
  <si>
    <t>H2 Cavern 150GWh_D-LVL_Oberdorf</t>
  </si>
  <si>
    <t>H2 Cavern 150GWh_D-LVL_Town</t>
  </si>
  <si>
    <t>H2 Heater (MFH 80kW)_Anglikon_B-LVL_MFH</t>
  </si>
  <si>
    <t>H2 Heater (MFH 80kW)_Oberdorf_B-LVL_MFH</t>
  </si>
  <si>
    <t>H2 Heater (MFH 80kW)_Town_B-LVL_MFH</t>
  </si>
  <si>
    <t>H2 Heater (SFH 17kW)_Anglikon_B-LVL_SFH</t>
  </si>
  <si>
    <t>H2 Heater (SFH 17kW)_Oberdorf_B-LVL_SFH</t>
  </si>
  <si>
    <t>H2 Heater (SFH 17kW)_Town_B-LVL_SFH</t>
  </si>
  <si>
    <t>H2 LOHC 7MWh_Anglikon_B-LVL_MFH</t>
  </si>
  <si>
    <t>H2 LOHC 7MWh_Anglikon_B-LVL_SFH</t>
  </si>
  <si>
    <t>H2 LOHC 7MWh_Oberdorf_B-LVL_MFH</t>
  </si>
  <si>
    <t>H2 LOHC 7MWh_Oberdorf_B-LVL_SFH</t>
  </si>
  <si>
    <t>H2 LOHC 7MWh_Town_B-LVL_MFH</t>
  </si>
  <si>
    <t>H2 LOHC 7MWh_Town_B-LVL_SFH</t>
  </si>
  <si>
    <t>H2 Tank 16.7MWh_D-LVL_Anglikon</t>
  </si>
  <si>
    <t>H2 Tank 16.7MWh_D-LVL_Oberdorf</t>
  </si>
  <si>
    <t>H2 Tank 16.7MWh_D-LVL_Town</t>
  </si>
  <si>
    <t>H2-Alkaline Electrolyzer 10MW_Anglikon_D-LVL</t>
  </si>
  <si>
    <t>H2-Alkaline Electrolyzer 10MW_Oberdorf_D-LVL</t>
  </si>
  <si>
    <t>H2-Alkaline Electrolyzer 10MW_Town_D-LVL</t>
  </si>
  <si>
    <t>H2-PEM Electrolyzer 10MW_Anglikon_D-LVL</t>
  </si>
  <si>
    <t>H2-PEM Electrolyzer 10MW_Oberdorf_D-LVL</t>
  </si>
  <si>
    <t>H2-PEM Electrolyzer 10MW_Town_D-LVL</t>
  </si>
  <si>
    <t>H2-PEM Fuel Cell 1MW_Anglikon_D-LVL</t>
  </si>
  <si>
    <t>H2-PEM Fuel Cell 1MW_Oberdorf_D-LVL</t>
  </si>
  <si>
    <t>H2-PEM Fuel Cell 1MW_Town_D-LVL</t>
  </si>
  <si>
    <t>H2-SO Electrolyzer 1MW_Anglikon_D-LVL</t>
  </si>
  <si>
    <t>H2-SO Electrolyzer 1MW_Oberdorf_D-LVL</t>
  </si>
  <si>
    <t>H2-SO Electrolyzer 1MW_Town_D-LVL</t>
  </si>
  <si>
    <t>H2-SO Fuel Cell 1MW_Anglikon_D-LVL</t>
  </si>
  <si>
    <t>H2-SO Fuel Cell 1MW_Oberdorf_D-LVL</t>
  </si>
  <si>
    <t>H2-SO Fuel Cell 1MW_Town_D-LVL</t>
  </si>
  <si>
    <t>Heat Pump (air MFH 80kW)_Anglikon_B-LVL_MFH</t>
  </si>
  <si>
    <t>Heat Pump (air MFH 80kW)_Oberdorf_B-LVL_MFH</t>
  </si>
  <si>
    <t>Heat Pump (air MFH 80kW)_Town_B-LVL_MFH</t>
  </si>
  <si>
    <t>Heat Pump (air SFH 17kW)_Anglikon_B-LVL_SFH</t>
  </si>
  <si>
    <t>Heat Pump (air SFH 17kW)_Oberdorf_B-LVL_SFH</t>
  </si>
  <si>
    <t>Heat Pump (air SFH 17kW)_Town_B-LVL_SFH</t>
  </si>
  <si>
    <t>Heat Pump (ground 1MW)_D-LVL_Anglikon</t>
  </si>
  <si>
    <t>Heat Pump (ground 1MW)_D-LVL_Oberdorf</t>
  </si>
  <si>
    <t>Heat Pump (ground 1MW)_D-LVL_Town</t>
  </si>
  <si>
    <t>Heat Pump (water 1MW)_D-LVL_Anglikon</t>
  </si>
  <si>
    <t>Heat Pump (water 1MW)_D-LVL_Oberdorf</t>
  </si>
  <si>
    <t>Heat Pump (water 1MW)_D-LVL_Town</t>
  </si>
  <si>
    <t>Hot Water Tank (175MWh)_D-LVL_Anglikon</t>
  </si>
  <si>
    <t>Hot Water Tank (175MWh)_D-LVL_Oberdorf</t>
  </si>
  <si>
    <t>Hot Water Tank (175MWh)_D-LVL_Town</t>
  </si>
  <si>
    <t>Hot Water Tank (3kWh)_Anglikon_B-LVL_MFH</t>
  </si>
  <si>
    <t>Hot Water Tank (3kWh)_Anglikon_B-LVL_SFH</t>
  </si>
  <si>
    <t>Hot Water Tank (3kWh)_Oberdorf_B-LVL_MFH</t>
  </si>
  <si>
    <t>Hot Water Tank (3kWh)_Oberdorf_B-LVL_SFH</t>
  </si>
  <si>
    <t>Hot Water Tank (3kWh)_Town_B-LVL_MFH</t>
  </si>
  <si>
    <t>Hot Water Tank (3kWh)_Town_B-LVL_SFH</t>
  </si>
  <si>
    <t>Li-ion Battery 4.7MWh_D-LVL_Anglikon</t>
  </si>
  <si>
    <t>Li-ion Battery 4.7MWh_D-LVL_Oberdorf</t>
  </si>
  <si>
    <t>Li-ion Battery 4.7MWh_D-LVL_Town</t>
  </si>
  <si>
    <t>Na-S Battery 300MWh_D-LVL_Anglikon</t>
  </si>
  <si>
    <t>Na-S Battery 300MWh_D-LVL_Oberdorf</t>
  </si>
  <si>
    <t>Na-S Battery 300MWh_D-LVL_Town</t>
  </si>
  <si>
    <t>NaMiCl2 Battery 4.15MWh_D-LVL_Anglikon</t>
  </si>
  <si>
    <t>NaMiCl2 Battery 4.15MWh_D-LVL_Oberdorf</t>
  </si>
  <si>
    <t>NaMiCl2 Battery 4.15MWh_D-LVL_Town</t>
  </si>
  <si>
    <t>Oil Heater (MFH 80kW)_Anglikon_B-LVL_MFH</t>
  </si>
  <si>
    <t>Oil Heater (MFH 80kW)_Oberdorf_B-LVL_MFH</t>
  </si>
  <si>
    <t>Oil Heater (MFH 80kW)_Town_B-LVL_MFH</t>
  </si>
  <si>
    <t>Oil Heater (SFH 17kW)_Anglikon_B-LVL_SFH</t>
  </si>
  <si>
    <t>Oil Heater (SFH 17kW)_Oberdorf_B-LVL_SFH</t>
  </si>
  <si>
    <t>Oil Heater (SFH 17kW)_Town_B-LVL_SFH</t>
  </si>
  <si>
    <t>OpenField PV 1MW_D-LVL_Anglikon</t>
  </si>
  <si>
    <t>OpenField PV 1MW_D-LVL_Oberdorf</t>
  </si>
  <si>
    <t>OpenField PV 1MW_D-LVL_Town</t>
  </si>
  <si>
    <t>PTES Seasonal 4.5GWh_D-LVL_Anglikon</t>
  </si>
  <si>
    <t>PTES Seasonal 4.5GWh_D-LVL_Oberdorf</t>
  </si>
  <si>
    <t>PTES Seasonal 4.5GWh_D-LVL_Town</t>
  </si>
  <si>
    <t>Rooftop PV 10kW_Anglikon_B-LVL_SFH</t>
  </si>
  <si>
    <t>Rooftop PV 10kW_Oberdorf_B-LVL_SFH</t>
  </si>
  <si>
    <t>Rooftop PV 10kW_Town_B-LVL_SFH</t>
  </si>
  <si>
    <t>Rooftop PV 30kW_Anglikon_B-LVL_MFH</t>
  </si>
  <si>
    <t>Rooftop PV 30kW_Oberdorf_B-LVL_MFH</t>
  </si>
  <si>
    <t>Rooftop PV 30kW_Town_B-LVL_MFH</t>
  </si>
  <si>
    <t>Vanadium Redox Flow Battery 0.65MWh_Anglikon_B-LVL_MFH</t>
  </si>
  <si>
    <t>Vanadium Redox Flow Battery 0.65MWh_Anglikon_B-LVL_SFH</t>
  </si>
  <si>
    <t>Vanadium Redox Flow Battery 0.65MWh_Oberdorf_B-LVL_MFH</t>
  </si>
  <si>
    <t>Vanadium Redox Flow Battery 0.65MWh_Oberdorf_B-LVL_SFH</t>
  </si>
  <si>
    <t>Vanadium Redox Flow Battery 0.65MWh_Town_B-LVL_MFH</t>
  </si>
  <si>
    <t>Vanadium Redox Flow Battery 0.65MWh_Town_B-LVL_SFH</t>
  </si>
  <si>
    <t>Wind Turbine (onshore-3.3MW)_D-LVL_Anglikon</t>
  </si>
  <si>
    <t>Wind Turbine (onshore-3.3MW)_D-LVL_Oberdorf</t>
  </si>
  <si>
    <t>Wind Turbine (onshore-3.3MW)_D-LVL_Town</t>
  </si>
  <si>
    <t>Wind Turbine 2 (onshore-3.3MW)_D-LVL_Town</t>
  </si>
  <si>
    <t>Wood Heater (MFH 80kW)_Anglikon_B-LVL_MFH</t>
  </si>
  <si>
    <t>Wood Heater (MFH 80kW)_Oberdorf_B-LVL_MFH</t>
  </si>
  <si>
    <t>Wood Heater (MFH 80kW)_Town_B-LVL_MFH</t>
  </si>
  <si>
    <t>Wood Heater (SFH 17kW)_Anglikon_B-LVL_SFH</t>
  </si>
  <si>
    <t>Wood Heater (SFH 17kW)_Oberdorf_B-LVL_SFH</t>
  </si>
  <si>
    <t>Wood Heater (SFH 17kW)_Town_B-LVL_SFH</t>
  </si>
  <si>
    <t>Wood Pellet CHP (25 MW)_D-LVL_Anglikon</t>
  </si>
  <si>
    <t>Wood Pellet CHP (25 MW)_D-LVL_Oberdorf</t>
  </si>
  <si>
    <t>Wood Pellet CHP (25 MW)_D-LVL_Town</t>
  </si>
  <si>
    <t>unit_capacity</t>
  </si>
  <si>
    <t>unit_capacity (MGA)</t>
  </si>
  <si>
    <t>node</t>
  </si>
  <si>
    <t>CO2_M-LVL</t>
  </si>
  <si>
    <t>Electricity_D-LVL_Town</t>
  </si>
  <si>
    <t>Hydrogen_D-LVL_Anglikon</t>
  </si>
  <si>
    <t>Hydrogen_D-LVL_Oberdorf</t>
  </si>
  <si>
    <t>Hydrogen_D-LVL_Town</t>
  </si>
  <si>
    <t>Hydrogen_Anglikon_B-LVL_MFH</t>
  </si>
  <si>
    <t>Hydrogen_Oberdorf_B-LVL_MFH</t>
  </si>
  <si>
    <t>Hydrogen_Town_B-LVL_MFH</t>
  </si>
  <si>
    <t>Hydrogen_Anglikon_B-LVL_SFH</t>
  </si>
  <si>
    <t>Hydrogen_Oberdorf_B-LVL_SFH</t>
  </si>
  <si>
    <t>Hydrogen_Town_B-LVL_SFH</t>
  </si>
  <si>
    <t>Electricity_D-LVL_Anglikon</t>
  </si>
  <si>
    <t>Electricity_D-LVL_Oberdorf</t>
  </si>
  <si>
    <t>Space_Heating_D-LVL_Anglikon</t>
  </si>
  <si>
    <t>Space_Heating_D-LVL_Oberdorf</t>
  </si>
  <si>
    <t>Space_Heating_D-LVL_Town</t>
  </si>
  <si>
    <t>Space_Heating_Anglikon_B-LVL_MFH</t>
  </si>
  <si>
    <t>Space_Heating_Anglikon_B-LVL_SFH</t>
  </si>
  <si>
    <t>Space_Heating_Oberdorf_B-LVL_MFH</t>
  </si>
  <si>
    <t>Space_Heating_Oberdorf_B-LVL_SFH</t>
  </si>
  <si>
    <t>Space_Heating_Town_B-LVL_MFH</t>
  </si>
  <si>
    <t>Space_Heating_Town_B-LVL_SFH</t>
  </si>
  <si>
    <t>Li-ion Battery 8MWh_D-LVL_Anglikon</t>
  </si>
  <si>
    <t>Li-ion Battery 8MWh_D-LVL_Oberdorf</t>
  </si>
  <si>
    <t>Li-ion Battery 8MWh_D-LVL_Town</t>
  </si>
  <si>
    <t>Electricity_Anglikon_B-LVL_MFH</t>
  </si>
  <si>
    <t>Vanadium Redox Flow Battery 2MWh_Anglikon_B-LVL_MFH</t>
  </si>
  <si>
    <t>Electricity_Anglikon_B-LVL_SFH</t>
  </si>
  <si>
    <t>Vanadium Redox Flow Battery 2MWh_Anglikon_B-LVL_SFH</t>
  </si>
  <si>
    <t>Electricity_Oberdorf_B-LVL_MFH</t>
  </si>
  <si>
    <t>Vanadium Redox Flow Battery 2MWh_Oberdorf_B-LVL_MFH</t>
  </si>
  <si>
    <t>Electricity_Oberdorf_B-LVL_SFH</t>
  </si>
  <si>
    <t>Vanadium Redox Flow Battery 2MWh_Oberdorf_B-LVL_SFH</t>
  </si>
  <si>
    <t>Electricity_Town_B-LVL_MFH</t>
  </si>
  <si>
    <t>Vanadium Redox Flow Battery 2MWh_Town_B-LVL_MFH</t>
  </si>
  <si>
    <t>Electricity_Town_B-LVL_SFH</t>
  </si>
  <si>
    <t>Vanadium Redox Flow Battery 2MWh_Town_B-LVL_SFH</t>
  </si>
  <si>
    <t>candidate_storages</t>
  </si>
  <si>
    <t>node_state_cap</t>
  </si>
  <si>
    <t>node_state_cap (MGA)</t>
  </si>
  <si>
    <t>Gas_Anglikon_B-LVL_MFH</t>
  </si>
  <si>
    <t>Gas_Anglikon_B-LVL_SFH</t>
  </si>
  <si>
    <t>Gas_D-LVL_Anglikon</t>
  </si>
  <si>
    <t>Gas_D-LVL_Oberdorf</t>
  </si>
  <si>
    <t>Gas_D-LVL_Town</t>
  </si>
  <si>
    <t>Gas_Oberdorf_B-LVL_MFH</t>
  </si>
  <si>
    <t>Gas_Oberdorf_B-LVL_SFH</t>
  </si>
  <si>
    <t>Gas_Town_B-LVL_MFH</t>
  </si>
  <si>
    <t>Gas_Town_B-LVL_SFH</t>
  </si>
  <si>
    <t>Heating_Oil_Anglikon_B-LVL_MFH</t>
  </si>
  <si>
    <t>Heating_Oil_Anglikon_B-LVL_SFH</t>
  </si>
  <si>
    <t>Heating_Oil_Oberdorf_B-LVL_MFH</t>
  </si>
  <si>
    <t>Heating_Oil_Oberdorf_B-LVL_SFH</t>
  </si>
  <si>
    <t>Heating_Oil_Town_B-LVL_MFH</t>
  </si>
  <si>
    <t>Heating_Oil_Town_B-LVL_SFH</t>
  </si>
  <si>
    <t>Pellet_D-LVL_Anglikon</t>
  </si>
  <si>
    <t>Pellet_D-LVL_Oberdorf</t>
  </si>
  <si>
    <t>Pellet_D-LVL_Town</t>
  </si>
  <si>
    <t>Wood_Anglikon_B-LVL_MFH</t>
  </si>
  <si>
    <t>Wood_Anglikon_B-LVL_SFH</t>
  </si>
  <si>
    <t>Wood_Oberdorf_B-LVL_MFH</t>
  </si>
  <si>
    <t>Wood_Oberdorf_B-LVL_SFH</t>
  </si>
  <si>
    <t>Wood_Town_B-LVL_MFH</t>
  </si>
  <si>
    <t>Wood_Town_B-LVL_SFH</t>
  </si>
  <si>
    <t>H2-Alkaline Electrolyzer 100MW_Anglikon_D-LVL</t>
  </si>
  <si>
    <t>H2-Alkaline Electrolyzer 100MW_Oberdorf_D-LVL</t>
  </si>
  <si>
    <t>H2-Alkaline Electrolyzer 100MW_Town_D-LVL</t>
  </si>
  <si>
    <t>Heat Pump (ground MFH 80kW)_Anglikon_B-LVL_MFH</t>
  </si>
  <si>
    <t>Heat Pump (ground MFH 80kW)_Oberdorf_B-LVL_MFH</t>
  </si>
  <si>
    <t>Heat Pump (ground MFH 80kW)_Town_B-LVL_MFH</t>
  </si>
  <si>
    <t>Heat Pump (ground SFH 17kW)_Anglikon_B-LVL_SFH</t>
  </si>
  <si>
    <t>Heat Pump (ground SFH 17kW)_Oberdorf_B-LVL_SFH</t>
  </si>
  <si>
    <t>Heat Pump (ground SFH 17kW)_Town_B-LVL_SFH</t>
  </si>
  <si>
    <t>These technologies are ignored for MGA</t>
  </si>
  <si>
    <t>candidate_storages (MGA)</t>
  </si>
  <si>
    <t>CO2_emission</t>
  </si>
  <si>
    <t>ElecExport_Town</t>
  </si>
  <si>
    <t>MGA-invest</t>
  </si>
  <si>
    <t>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</si>
</sst>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zoomScale="130" zoomScaleNormal="130" workbookViewId="0">
      <selection activeCell="B1" sqref="B1"/>
    </sheetView>
  </sheetViews>
  <sheetFormatPr defaultColWidth="11.5703125" defaultRowHeight="12.75" x14ac:dyDescent="0.2"/>
  <cols>
    <col min="1" max="1" width="56.85546875" customWidth="1"/>
    <col min="2" max="2" width="14.140625" bestFit="1" customWidth="1"/>
    <col min="3" max="3" width="18.7109375" bestFit="1" customWidth="1"/>
    <col min="4" max="4" width="20.28515625" bestFit="1" customWidth="1"/>
    <col min="5" max="5" width="24.855468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203</v>
      </c>
    </row>
    <row r="2" spans="1:6" x14ac:dyDescent="0.2">
      <c r="A2" t="s">
        <v>5</v>
      </c>
    </row>
    <row r="3" spans="1:6" x14ac:dyDescent="0.2">
      <c r="A3" t="s">
        <v>7</v>
      </c>
      <c r="B3">
        <v>44</v>
      </c>
      <c r="C3">
        <v>15.2</v>
      </c>
      <c r="D3">
        <v>1</v>
      </c>
      <c r="E3">
        <f t="shared" ref="E3:E34" si="0">B3*C3</f>
        <v>668.8</v>
      </c>
      <c r="F3" t="s">
        <v>202</v>
      </c>
    </row>
    <row r="4" spans="1:6" x14ac:dyDescent="0.2">
      <c r="A4" t="s">
        <v>8</v>
      </c>
      <c r="B4">
        <v>71</v>
      </c>
      <c r="C4">
        <v>15.2</v>
      </c>
      <c r="D4">
        <v>1</v>
      </c>
      <c r="E4">
        <f t="shared" si="0"/>
        <v>1079.2</v>
      </c>
      <c r="F4" t="s">
        <v>202</v>
      </c>
    </row>
    <row r="5" spans="1:6" x14ac:dyDescent="0.2">
      <c r="A5" t="s">
        <v>9</v>
      </c>
      <c r="B5">
        <v>537</v>
      </c>
      <c r="C5">
        <v>15.2</v>
      </c>
      <c r="D5">
        <v>1</v>
      </c>
      <c r="E5">
        <f t="shared" si="0"/>
        <v>8162.4</v>
      </c>
      <c r="F5" t="s">
        <v>202</v>
      </c>
    </row>
    <row r="6" spans="1:6" x14ac:dyDescent="0.2">
      <c r="A6" t="s">
        <v>10</v>
      </c>
      <c r="B6">
        <v>279</v>
      </c>
      <c r="C6">
        <v>10.88</v>
      </c>
      <c r="D6">
        <v>1</v>
      </c>
      <c r="E6">
        <f t="shared" si="0"/>
        <v>3035.5200000000004</v>
      </c>
      <c r="F6" t="s">
        <v>202</v>
      </c>
    </row>
    <row r="7" spans="1:6" x14ac:dyDescent="0.2">
      <c r="A7" t="s">
        <v>11</v>
      </c>
      <c r="B7">
        <v>530</v>
      </c>
      <c r="C7">
        <v>10.88</v>
      </c>
      <c r="D7">
        <v>1</v>
      </c>
      <c r="E7">
        <f t="shared" si="0"/>
        <v>5766.4000000000005</v>
      </c>
      <c r="F7" t="s">
        <v>202</v>
      </c>
    </row>
    <row r="8" spans="1:6" x14ac:dyDescent="0.2">
      <c r="A8" t="s">
        <v>12</v>
      </c>
      <c r="B8">
        <v>1714</v>
      </c>
      <c r="C8">
        <v>10.88</v>
      </c>
      <c r="D8">
        <v>1</v>
      </c>
      <c r="E8">
        <f t="shared" si="0"/>
        <v>18648.32</v>
      </c>
      <c r="F8" t="s">
        <v>202</v>
      </c>
    </row>
    <row r="9" spans="1:6" x14ac:dyDescent="0.2">
      <c r="A9" t="s">
        <v>13</v>
      </c>
      <c r="B9">
        <v>44</v>
      </c>
      <c r="C9">
        <v>80</v>
      </c>
      <c r="D9">
        <v>1</v>
      </c>
      <c r="E9">
        <f t="shared" si="0"/>
        <v>3520</v>
      </c>
      <c r="F9" t="s">
        <v>202</v>
      </c>
    </row>
    <row r="10" spans="1:6" x14ac:dyDescent="0.2">
      <c r="A10" t="s">
        <v>14</v>
      </c>
      <c r="B10">
        <v>71</v>
      </c>
      <c r="C10">
        <v>80</v>
      </c>
      <c r="D10">
        <v>1</v>
      </c>
      <c r="E10">
        <f t="shared" si="0"/>
        <v>5680</v>
      </c>
      <c r="F10" t="s">
        <v>202</v>
      </c>
    </row>
    <row r="11" spans="1:6" x14ac:dyDescent="0.2">
      <c r="A11" t="s">
        <v>15</v>
      </c>
      <c r="B11">
        <v>537</v>
      </c>
      <c r="C11">
        <v>80</v>
      </c>
      <c r="D11">
        <v>1</v>
      </c>
      <c r="E11">
        <f t="shared" si="0"/>
        <v>42960</v>
      </c>
      <c r="F11" t="s">
        <v>202</v>
      </c>
    </row>
    <row r="12" spans="1:6" x14ac:dyDescent="0.2">
      <c r="A12" t="s">
        <v>16</v>
      </c>
      <c r="B12">
        <v>279</v>
      </c>
      <c r="C12">
        <v>80</v>
      </c>
      <c r="D12">
        <v>1</v>
      </c>
      <c r="E12">
        <f t="shared" si="0"/>
        <v>22320</v>
      </c>
      <c r="F12" t="s">
        <v>202</v>
      </c>
    </row>
    <row r="13" spans="1:6" x14ac:dyDescent="0.2">
      <c r="A13" t="s">
        <v>17</v>
      </c>
      <c r="B13">
        <v>530</v>
      </c>
      <c r="C13">
        <v>80</v>
      </c>
      <c r="D13">
        <v>1</v>
      </c>
      <c r="E13">
        <f t="shared" si="0"/>
        <v>42400</v>
      </c>
      <c r="F13" t="s">
        <v>202</v>
      </c>
    </row>
    <row r="14" spans="1:6" x14ac:dyDescent="0.2">
      <c r="A14" t="s">
        <v>18</v>
      </c>
      <c r="B14">
        <v>1714</v>
      </c>
      <c r="C14">
        <v>80</v>
      </c>
      <c r="D14">
        <v>1</v>
      </c>
      <c r="E14">
        <f t="shared" si="0"/>
        <v>137120</v>
      </c>
      <c r="F14" t="s">
        <v>202</v>
      </c>
    </row>
    <row r="15" spans="1:6" x14ac:dyDescent="0.2">
      <c r="A15" t="s">
        <v>19</v>
      </c>
      <c r="B15">
        <v>10</v>
      </c>
      <c r="C15">
        <v>16168</v>
      </c>
      <c r="D15">
        <v>1</v>
      </c>
      <c r="E15">
        <f t="shared" si="0"/>
        <v>161680</v>
      </c>
      <c r="F15" t="s">
        <v>202</v>
      </c>
    </row>
    <row r="16" spans="1:6" x14ac:dyDescent="0.2">
      <c r="A16" t="s">
        <v>20</v>
      </c>
      <c r="B16">
        <v>10</v>
      </c>
      <c r="C16">
        <v>16168</v>
      </c>
      <c r="D16">
        <v>1</v>
      </c>
      <c r="E16">
        <f t="shared" si="0"/>
        <v>161680</v>
      </c>
      <c r="F16" t="s">
        <v>202</v>
      </c>
    </row>
    <row r="17" spans="1:6" x14ac:dyDescent="0.2">
      <c r="A17" t="s">
        <v>21</v>
      </c>
      <c r="B17">
        <v>10</v>
      </c>
      <c r="C17">
        <v>16168</v>
      </c>
      <c r="D17">
        <v>1</v>
      </c>
      <c r="E17">
        <f t="shared" si="0"/>
        <v>161680</v>
      </c>
      <c r="F17" t="s">
        <v>202</v>
      </c>
    </row>
    <row r="18" spans="1:6" x14ac:dyDescent="0.2">
      <c r="A18" t="s">
        <v>22</v>
      </c>
      <c r="B18">
        <v>1</v>
      </c>
      <c r="C18">
        <v>224909.1</v>
      </c>
      <c r="D18">
        <v>1</v>
      </c>
      <c r="E18">
        <f t="shared" si="0"/>
        <v>224909.1</v>
      </c>
      <c r="F18" t="s">
        <v>202</v>
      </c>
    </row>
    <row r="19" spans="1:6" x14ac:dyDescent="0.2">
      <c r="A19" t="s">
        <v>23</v>
      </c>
      <c r="B19">
        <v>1</v>
      </c>
      <c r="C19">
        <v>224909.1</v>
      </c>
      <c r="D19">
        <v>1</v>
      </c>
      <c r="E19">
        <f t="shared" si="0"/>
        <v>224909.1</v>
      </c>
      <c r="F19" t="s">
        <v>202</v>
      </c>
    </row>
    <row r="20" spans="1:6" x14ac:dyDescent="0.2">
      <c r="A20" t="s">
        <v>24</v>
      </c>
      <c r="B20">
        <v>1</v>
      </c>
      <c r="C20">
        <v>224909.1</v>
      </c>
      <c r="D20">
        <v>1</v>
      </c>
      <c r="E20">
        <f t="shared" si="0"/>
        <v>224909.1</v>
      </c>
      <c r="F20" t="s">
        <v>202</v>
      </c>
    </row>
    <row r="21" spans="1:6" x14ac:dyDescent="0.2">
      <c r="A21" t="s">
        <v>25</v>
      </c>
      <c r="B21">
        <v>44</v>
      </c>
      <c r="C21">
        <v>59.2</v>
      </c>
      <c r="D21">
        <v>1</v>
      </c>
      <c r="E21">
        <f t="shared" si="0"/>
        <v>2604.8000000000002</v>
      </c>
      <c r="F21" t="s">
        <v>202</v>
      </c>
    </row>
    <row r="22" spans="1:6" x14ac:dyDescent="0.2">
      <c r="A22" t="s">
        <v>26</v>
      </c>
      <c r="B22">
        <v>71</v>
      </c>
      <c r="C22">
        <v>59.2</v>
      </c>
      <c r="D22">
        <v>1</v>
      </c>
      <c r="E22">
        <f t="shared" si="0"/>
        <v>4203.2</v>
      </c>
      <c r="F22" t="s">
        <v>202</v>
      </c>
    </row>
    <row r="23" spans="1:6" x14ac:dyDescent="0.2">
      <c r="A23" t="s">
        <v>27</v>
      </c>
      <c r="B23">
        <v>537</v>
      </c>
      <c r="C23">
        <v>59.2</v>
      </c>
      <c r="D23">
        <v>1</v>
      </c>
      <c r="E23">
        <f t="shared" si="0"/>
        <v>31790.400000000001</v>
      </c>
      <c r="F23" t="s">
        <v>202</v>
      </c>
    </row>
    <row r="24" spans="1:6" x14ac:dyDescent="0.2">
      <c r="A24" t="s">
        <v>28</v>
      </c>
      <c r="B24">
        <v>279</v>
      </c>
      <c r="C24">
        <v>30.09</v>
      </c>
      <c r="D24">
        <v>1</v>
      </c>
      <c r="E24">
        <f t="shared" si="0"/>
        <v>8395.11</v>
      </c>
      <c r="F24" t="s">
        <v>202</v>
      </c>
    </row>
    <row r="25" spans="1:6" x14ac:dyDescent="0.2">
      <c r="A25" t="s">
        <v>29</v>
      </c>
      <c r="B25">
        <v>530</v>
      </c>
      <c r="C25">
        <v>30.09</v>
      </c>
      <c r="D25">
        <v>1</v>
      </c>
      <c r="E25">
        <f t="shared" si="0"/>
        <v>15947.7</v>
      </c>
      <c r="F25" t="s">
        <v>202</v>
      </c>
    </row>
    <row r="26" spans="1:6" x14ac:dyDescent="0.2">
      <c r="A26" t="s">
        <v>30</v>
      </c>
      <c r="B26">
        <v>1714</v>
      </c>
      <c r="C26">
        <v>30.09</v>
      </c>
      <c r="D26">
        <v>1</v>
      </c>
      <c r="E26">
        <f t="shared" si="0"/>
        <v>51574.26</v>
      </c>
      <c r="F26" t="s">
        <v>202</v>
      </c>
    </row>
    <row r="27" spans="1:6" x14ac:dyDescent="0.2">
      <c r="A27" t="s">
        <v>31</v>
      </c>
      <c r="B27">
        <v>44</v>
      </c>
      <c r="C27">
        <v>3.1487273999999998</v>
      </c>
      <c r="D27">
        <v>1</v>
      </c>
      <c r="E27">
        <f t="shared" si="0"/>
        <v>138.54400559999999</v>
      </c>
      <c r="F27" t="s">
        <v>202</v>
      </c>
    </row>
    <row r="28" spans="1:6" x14ac:dyDescent="0.2">
      <c r="A28" t="s">
        <v>32</v>
      </c>
      <c r="B28">
        <v>279</v>
      </c>
      <c r="C28">
        <v>3.1487273999999998</v>
      </c>
      <c r="D28">
        <v>1</v>
      </c>
      <c r="E28">
        <f t="shared" si="0"/>
        <v>878.49494459999994</v>
      </c>
      <c r="F28" t="s">
        <v>202</v>
      </c>
    </row>
    <row r="29" spans="1:6" x14ac:dyDescent="0.2">
      <c r="A29" t="s">
        <v>33</v>
      </c>
      <c r="B29">
        <v>71</v>
      </c>
      <c r="C29">
        <v>3.1487273999999998</v>
      </c>
      <c r="D29">
        <v>1</v>
      </c>
      <c r="E29">
        <f t="shared" si="0"/>
        <v>223.55964539999999</v>
      </c>
      <c r="F29" t="s">
        <v>202</v>
      </c>
    </row>
    <row r="30" spans="1:6" x14ac:dyDescent="0.2">
      <c r="A30" t="s">
        <v>34</v>
      </c>
      <c r="B30">
        <v>530</v>
      </c>
      <c r="C30">
        <v>3.1487273999999998</v>
      </c>
      <c r="D30">
        <v>1</v>
      </c>
      <c r="E30">
        <f t="shared" si="0"/>
        <v>1668.8255219999999</v>
      </c>
      <c r="F30" t="s">
        <v>202</v>
      </c>
    </row>
    <row r="31" spans="1:6" x14ac:dyDescent="0.2">
      <c r="A31" t="s">
        <v>35</v>
      </c>
      <c r="B31">
        <v>537</v>
      </c>
      <c r="C31">
        <v>3.1487273999999998</v>
      </c>
      <c r="D31">
        <v>1</v>
      </c>
      <c r="E31">
        <f t="shared" si="0"/>
        <v>1690.8666137999999</v>
      </c>
      <c r="F31" t="s">
        <v>202</v>
      </c>
    </row>
    <row r="32" spans="1:6" x14ac:dyDescent="0.2">
      <c r="A32" t="s">
        <v>36</v>
      </c>
      <c r="B32">
        <v>1714</v>
      </c>
      <c r="C32">
        <v>3.1487273999999998</v>
      </c>
      <c r="D32">
        <v>1</v>
      </c>
      <c r="E32">
        <f t="shared" si="0"/>
        <v>5396.9187635999997</v>
      </c>
      <c r="F32" t="s">
        <v>202</v>
      </c>
    </row>
    <row r="33" spans="1:6" x14ac:dyDescent="0.2">
      <c r="A33" t="s">
        <v>37</v>
      </c>
      <c r="B33">
        <v>60</v>
      </c>
      <c r="C33">
        <v>1018.7</v>
      </c>
      <c r="D33">
        <v>1</v>
      </c>
      <c r="E33">
        <f t="shared" si="0"/>
        <v>61122</v>
      </c>
      <c r="F33" t="s">
        <v>202</v>
      </c>
    </row>
    <row r="34" spans="1:6" x14ac:dyDescent="0.2">
      <c r="A34" t="s">
        <v>38</v>
      </c>
      <c r="B34">
        <v>60</v>
      </c>
      <c r="C34">
        <v>1018.7</v>
      </c>
      <c r="D34">
        <v>1</v>
      </c>
      <c r="E34">
        <f t="shared" si="0"/>
        <v>61122</v>
      </c>
      <c r="F34" t="s">
        <v>202</v>
      </c>
    </row>
    <row r="35" spans="1:6" x14ac:dyDescent="0.2">
      <c r="A35" t="s">
        <v>39</v>
      </c>
      <c r="B35">
        <v>60</v>
      </c>
      <c r="C35">
        <v>1018.7</v>
      </c>
      <c r="D35">
        <v>1</v>
      </c>
      <c r="E35">
        <f t="shared" ref="E35:E66" si="1">B35*C35</f>
        <v>61122</v>
      </c>
      <c r="F35" t="s">
        <v>202</v>
      </c>
    </row>
    <row r="36" spans="1:6" x14ac:dyDescent="0.2">
      <c r="A36" t="s">
        <v>189</v>
      </c>
      <c r="B36">
        <v>1</v>
      </c>
      <c r="C36">
        <v>39950</v>
      </c>
      <c r="D36">
        <v>1</v>
      </c>
      <c r="E36">
        <f t="shared" si="1"/>
        <v>39950</v>
      </c>
      <c r="F36" t="s">
        <v>202</v>
      </c>
    </row>
    <row r="37" spans="1:6" x14ac:dyDescent="0.2">
      <c r="A37" t="s">
        <v>190</v>
      </c>
      <c r="B37">
        <v>1</v>
      </c>
      <c r="C37">
        <v>39950</v>
      </c>
      <c r="D37">
        <v>1</v>
      </c>
      <c r="E37">
        <f t="shared" si="1"/>
        <v>39950</v>
      </c>
      <c r="F37" t="s">
        <v>202</v>
      </c>
    </row>
    <row r="38" spans="1:6" x14ac:dyDescent="0.2">
      <c r="A38" t="s">
        <v>191</v>
      </c>
      <c r="B38">
        <v>1</v>
      </c>
      <c r="C38">
        <v>39950</v>
      </c>
      <c r="D38">
        <v>1</v>
      </c>
      <c r="E38">
        <f t="shared" si="1"/>
        <v>39950</v>
      </c>
      <c r="F38" t="s">
        <v>202</v>
      </c>
    </row>
    <row r="39" spans="1:6" x14ac:dyDescent="0.2">
      <c r="A39" t="s">
        <v>40</v>
      </c>
      <c r="B39">
        <v>10</v>
      </c>
      <c r="C39">
        <v>6345</v>
      </c>
      <c r="D39">
        <v>1</v>
      </c>
      <c r="E39">
        <f t="shared" si="1"/>
        <v>63450</v>
      </c>
      <c r="F39" t="s">
        <v>202</v>
      </c>
    </row>
    <row r="40" spans="1:6" x14ac:dyDescent="0.2">
      <c r="A40" t="s">
        <v>41</v>
      </c>
      <c r="B40">
        <v>10</v>
      </c>
      <c r="C40">
        <v>6345</v>
      </c>
      <c r="D40">
        <v>1</v>
      </c>
      <c r="E40">
        <f t="shared" si="1"/>
        <v>63450</v>
      </c>
      <c r="F40" t="s">
        <v>202</v>
      </c>
    </row>
    <row r="41" spans="1:6" x14ac:dyDescent="0.2">
      <c r="A41" t="s">
        <v>42</v>
      </c>
      <c r="B41">
        <v>10</v>
      </c>
      <c r="C41">
        <v>6345</v>
      </c>
      <c r="D41">
        <v>1</v>
      </c>
      <c r="E41">
        <f t="shared" si="1"/>
        <v>63450</v>
      </c>
      <c r="F41" t="s">
        <v>202</v>
      </c>
    </row>
    <row r="42" spans="1:6" x14ac:dyDescent="0.2">
      <c r="A42" t="s">
        <v>43</v>
      </c>
      <c r="B42">
        <v>10</v>
      </c>
      <c r="C42">
        <v>6815</v>
      </c>
      <c r="D42">
        <v>1</v>
      </c>
      <c r="E42">
        <f t="shared" si="1"/>
        <v>68150</v>
      </c>
      <c r="F42" t="s">
        <v>202</v>
      </c>
    </row>
    <row r="43" spans="1:6" x14ac:dyDescent="0.2">
      <c r="A43" t="s">
        <v>44</v>
      </c>
      <c r="B43">
        <v>10</v>
      </c>
      <c r="C43">
        <v>6815</v>
      </c>
      <c r="D43">
        <v>1</v>
      </c>
      <c r="E43">
        <f t="shared" si="1"/>
        <v>68150</v>
      </c>
      <c r="F43" t="s">
        <v>202</v>
      </c>
    </row>
    <row r="44" spans="1:6" x14ac:dyDescent="0.2">
      <c r="A44" t="s">
        <v>45</v>
      </c>
      <c r="B44">
        <v>10</v>
      </c>
      <c r="C44">
        <v>6815</v>
      </c>
      <c r="D44">
        <v>1</v>
      </c>
      <c r="E44">
        <f t="shared" si="1"/>
        <v>68150</v>
      </c>
      <c r="F44" t="s">
        <v>202</v>
      </c>
    </row>
    <row r="45" spans="1:6" x14ac:dyDescent="0.2">
      <c r="A45" t="s">
        <v>46</v>
      </c>
      <c r="B45">
        <v>100</v>
      </c>
      <c r="C45">
        <v>47000</v>
      </c>
      <c r="D45">
        <v>1</v>
      </c>
      <c r="E45">
        <f t="shared" si="1"/>
        <v>4700000</v>
      </c>
      <c r="F45" t="s">
        <v>202</v>
      </c>
    </row>
    <row r="46" spans="1:6" x14ac:dyDescent="0.2">
      <c r="A46" t="s">
        <v>47</v>
      </c>
      <c r="B46">
        <v>100</v>
      </c>
      <c r="C46">
        <v>47000</v>
      </c>
      <c r="D46">
        <v>1</v>
      </c>
      <c r="E46">
        <f t="shared" si="1"/>
        <v>4700000</v>
      </c>
      <c r="F46" t="s">
        <v>202</v>
      </c>
    </row>
    <row r="47" spans="1:6" x14ac:dyDescent="0.2">
      <c r="A47" t="s">
        <v>48</v>
      </c>
      <c r="B47">
        <v>100</v>
      </c>
      <c r="C47">
        <v>47000</v>
      </c>
      <c r="D47">
        <v>1</v>
      </c>
      <c r="E47">
        <f t="shared" si="1"/>
        <v>4700000</v>
      </c>
      <c r="F47" t="s">
        <v>202</v>
      </c>
    </row>
    <row r="48" spans="1:6" x14ac:dyDescent="0.2">
      <c r="A48" t="s">
        <v>49</v>
      </c>
      <c r="B48">
        <v>100</v>
      </c>
      <c r="C48">
        <v>1450</v>
      </c>
      <c r="D48">
        <v>1</v>
      </c>
      <c r="E48">
        <f t="shared" si="1"/>
        <v>145000</v>
      </c>
      <c r="F48" t="s">
        <v>202</v>
      </c>
    </row>
    <row r="49" spans="1:6" x14ac:dyDescent="0.2">
      <c r="A49" t="s">
        <v>50</v>
      </c>
      <c r="B49">
        <v>100</v>
      </c>
      <c r="C49">
        <v>1450</v>
      </c>
      <c r="D49">
        <v>1</v>
      </c>
      <c r="E49">
        <f t="shared" si="1"/>
        <v>145000</v>
      </c>
      <c r="F49" t="s">
        <v>202</v>
      </c>
    </row>
    <row r="50" spans="1:6" x14ac:dyDescent="0.2">
      <c r="A50" t="s">
        <v>51</v>
      </c>
      <c r="B50">
        <v>100</v>
      </c>
      <c r="C50">
        <v>1450</v>
      </c>
      <c r="D50">
        <v>1</v>
      </c>
      <c r="E50">
        <f t="shared" si="1"/>
        <v>145000</v>
      </c>
      <c r="F50" t="s">
        <v>202</v>
      </c>
    </row>
    <row r="51" spans="1:6" x14ac:dyDescent="0.2">
      <c r="A51" t="s">
        <v>52</v>
      </c>
      <c r="B51">
        <v>100</v>
      </c>
      <c r="C51">
        <v>9400</v>
      </c>
      <c r="D51">
        <v>1</v>
      </c>
      <c r="E51">
        <f t="shared" si="1"/>
        <v>940000</v>
      </c>
      <c r="F51" t="s">
        <v>202</v>
      </c>
    </row>
    <row r="52" spans="1:6" x14ac:dyDescent="0.2">
      <c r="A52" t="s">
        <v>53</v>
      </c>
      <c r="B52">
        <v>100</v>
      </c>
      <c r="C52">
        <v>9400</v>
      </c>
      <c r="D52">
        <v>1</v>
      </c>
      <c r="E52">
        <f t="shared" si="1"/>
        <v>940000</v>
      </c>
      <c r="F52" t="s">
        <v>202</v>
      </c>
    </row>
    <row r="53" spans="1:6" x14ac:dyDescent="0.2">
      <c r="A53" t="s">
        <v>54</v>
      </c>
      <c r="B53">
        <v>100</v>
      </c>
      <c r="C53">
        <v>9400</v>
      </c>
      <c r="D53">
        <v>1</v>
      </c>
      <c r="E53">
        <f t="shared" si="1"/>
        <v>940000</v>
      </c>
      <c r="F53" t="s">
        <v>202</v>
      </c>
    </row>
    <row r="54" spans="1:6" x14ac:dyDescent="0.2">
      <c r="A54" t="s">
        <v>55</v>
      </c>
      <c r="B54">
        <v>44</v>
      </c>
      <c r="C54">
        <v>176</v>
      </c>
      <c r="D54">
        <v>1</v>
      </c>
      <c r="E54">
        <f t="shared" si="1"/>
        <v>7744</v>
      </c>
      <c r="F54" t="s">
        <v>202</v>
      </c>
    </row>
    <row r="55" spans="1:6" x14ac:dyDescent="0.2">
      <c r="A55" t="s">
        <v>56</v>
      </c>
      <c r="B55">
        <v>71</v>
      </c>
      <c r="C55">
        <v>176</v>
      </c>
      <c r="D55">
        <v>1</v>
      </c>
      <c r="E55">
        <f t="shared" si="1"/>
        <v>12496</v>
      </c>
      <c r="F55" t="s">
        <v>202</v>
      </c>
    </row>
    <row r="56" spans="1:6" x14ac:dyDescent="0.2">
      <c r="A56" t="s">
        <v>57</v>
      </c>
      <c r="B56">
        <v>537</v>
      </c>
      <c r="C56">
        <v>176</v>
      </c>
      <c r="D56">
        <v>1</v>
      </c>
      <c r="E56">
        <f t="shared" si="1"/>
        <v>94512</v>
      </c>
      <c r="F56" t="s">
        <v>202</v>
      </c>
    </row>
    <row r="57" spans="1:6" x14ac:dyDescent="0.2">
      <c r="A57" t="s">
        <v>58</v>
      </c>
      <c r="B57">
        <v>279</v>
      </c>
      <c r="C57">
        <v>64.599999999999994</v>
      </c>
      <c r="D57">
        <v>1</v>
      </c>
      <c r="E57">
        <f t="shared" si="1"/>
        <v>18023.399999999998</v>
      </c>
      <c r="F57" t="s">
        <v>202</v>
      </c>
    </row>
    <row r="58" spans="1:6" x14ac:dyDescent="0.2">
      <c r="A58" t="s">
        <v>59</v>
      </c>
      <c r="B58">
        <v>530</v>
      </c>
      <c r="C58">
        <v>64.599999999999994</v>
      </c>
      <c r="D58">
        <v>1</v>
      </c>
      <c r="E58">
        <f t="shared" si="1"/>
        <v>34238</v>
      </c>
      <c r="F58" t="s">
        <v>202</v>
      </c>
    </row>
    <row r="59" spans="1:6" x14ac:dyDescent="0.2">
      <c r="A59" t="s">
        <v>60</v>
      </c>
      <c r="B59">
        <v>1714</v>
      </c>
      <c r="C59">
        <v>64.599999999999994</v>
      </c>
      <c r="D59">
        <v>1</v>
      </c>
      <c r="E59">
        <f t="shared" si="1"/>
        <v>110724.4</v>
      </c>
      <c r="F59" t="s">
        <v>202</v>
      </c>
    </row>
    <row r="60" spans="1:6" x14ac:dyDescent="0.2">
      <c r="A60" t="s">
        <v>61</v>
      </c>
      <c r="B60">
        <v>100</v>
      </c>
      <c r="C60">
        <v>700</v>
      </c>
      <c r="D60">
        <v>1</v>
      </c>
      <c r="E60">
        <f t="shared" si="1"/>
        <v>70000</v>
      </c>
      <c r="F60" t="s">
        <v>202</v>
      </c>
    </row>
    <row r="61" spans="1:6" x14ac:dyDescent="0.2">
      <c r="A61" t="s">
        <v>62</v>
      </c>
      <c r="B61">
        <v>100</v>
      </c>
      <c r="C61">
        <v>700</v>
      </c>
      <c r="D61">
        <v>1</v>
      </c>
      <c r="E61">
        <f t="shared" si="1"/>
        <v>70000</v>
      </c>
      <c r="F61" t="s">
        <v>202</v>
      </c>
    </row>
    <row r="62" spans="1:6" x14ac:dyDescent="0.2">
      <c r="A62" t="s">
        <v>63</v>
      </c>
      <c r="B62">
        <v>100</v>
      </c>
      <c r="C62">
        <v>700</v>
      </c>
      <c r="D62">
        <v>1</v>
      </c>
      <c r="E62">
        <f t="shared" si="1"/>
        <v>70000</v>
      </c>
      <c r="F62" t="s">
        <v>202</v>
      </c>
    </row>
    <row r="63" spans="1:6" x14ac:dyDescent="0.2">
      <c r="A63" t="s">
        <v>64</v>
      </c>
      <c r="B63">
        <v>100</v>
      </c>
      <c r="C63">
        <v>500</v>
      </c>
      <c r="D63">
        <v>1</v>
      </c>
      <c r="E63">
        <f t="shared" si="1"/>
        <v>50000</v>
      </c>
      <c r="F63" t="s">
        <v>202</v>
      </c>
    </row>
    <row r="64" spans="1:6" x14ac:dyDescent="0.2">
      <c r="A64" t="s">
        <v>65</v>
      </c>
      <c r="B64">
        <v>100</v>
      </c>
      <c r="C64">
        <v>500</v>
      </c>
      <c r="D64">
        <v>1</v>
      </c>
      <c r="E64">
        <f t="shared" si="1"/>
        <v>50000</v>
      </c>
      <c r="F64" t="s">
        <v>202</v>
      </c>
    </row>
    <row r="65" spans="1:6" x14ac:dyDescent="0.2">
      <c r="A65" t="s">
        <v>66</v>
      </c>
      <c r="B65">
        <v>100</v>
      </c>
      <c r="C65">
        <v>500</v>
      </c>
      <c r="D65">
        <v>1</v>
      </c>
      <c r="E65">
        <f t="shared" si="1"/>
        <v>50000</v>
      </c>
      <c r="F65" t="s">
        <v>202</v>
      </c>
    </row>
    <row r="66" spans="1:6" x14ac:dyDescent="0.2">
      <c r="A66" t="s">
        <v>67</v>
      </c>
      <c r="B66">
        <v>6</v>
      </c>
      <c r="C66">
        <v>493.5</v>
      </c>
      <c r="D66">
        <v>1</v>
      </c>
      <c r="E66">
        <f t="shared" si="1"/>
        <v>2961</v>
      </c>
      <c r="F66" t="s">
        <v>202</v>
      </c>
    </row>
    <row r="67" spans="1:6" x14ac:dyDescent="0.2">
      <c r="A67" t="s">
        <v>68</v>
      </c>
      <c r="B67">
        <v>6</v>
      </c>
      <c r="C67">
        <v>493.5</v>
      </c>
      <c r="D67">
        <v>1</v>
      </c>
      <c r="E67">
        <f t="shared" ref="E67:E98" si="2">B67*C67</f>
        <v>2961</v>
      </c>
      <c r="F67" t="s">
        <v>202</v>
      </c>
    </row>
    <row r="68" spans="1:6" x14ac:dyDescent="0.2">
      <c r="A68" t="s">
        <v>69</v>
      </c>
      <c r="B68">
        <v>6</v>
      </c>
      <c r="C68">
        <v>493.5</v>
      </c>
      <c r="D68">
        <v>1</v>
      </c>
      <c r="E68">
        <f t="shared" si="2"/>
        <v>2961</v>
      </c>
      <c r="F68" t="s">
        <v>202</v>
      </c>
    </row>
    <row r="69" spans="1:6" x14ac:dyDescent="0.2">
      <c r="A69" t="s">
        <v>70</v>
      </c>
      <c r="B69">
        <v>44</v>
      </c>
      <c r="C69">
        <v>1.1843999999999999</v>
      </c>
      <c r="D69">
        <v>1</v>
      </c>
      <c r="E69">
        <f t="shared" si="2"/>
        <v>52.113599999999998</v>
      </c>
      <c r="F69" t="s">
        <v>202</v>
      </c>
    </row>
    <row r="70" spans="1:6" x14ac:dyDescent="0.2">
      <c r="A70" t="s">
        <v>71</v>
      </c>
      <c r="B70">
        <v>279</v>
      </c>
      <c r="C70">
        <v>1.1843999999999999</v>
      </c>
      <c r="D70">
        <v>1</v>
      </c>
      <c r="E70">
        <f t="shared" si="2"/>
        <v>330.44759999999997</v>
      </c>
      <c r="F70" t="s">
        <v>202</v>
      </c>
    </row>
    <row r="71" spans="1:6" x14ac:dyDescent="0.2">
      <c r="A71" t="s">
        <v>72</v>
      </c>
      <c r="B71">
        <v>71</v>
      </c>
      <c r="C71">
        <v>1.1843999999999999</v>
      </c>
      <c r="D71">
        <v>1</v>
      </c>
      <c r="E71">
        <f t="shared" si="2"/>
        <v>84.092399999999998</v>
      </c>
      <c r="F71" t="s">
        <v>202</v>
      </c>
    </row>
    <row r="72" spans="1:6" x14ac:dyDescent="0.2">
      <c r="A72" t="s">
        <v>73</v>
      </c>
      <c r="B72">
        <v>530</v>
      </c>
      <c r="C72">
        <v>1.1843999999999999</v>
      </c>
      <c r="D72">
        <v>1</v>
      </c>
      <c r="E72">
        <f t="shared" si="2"/>
        <v>627.73199999999997</v>
      </c>
      <c r="F72" t="s">
        <v>202</v>
      </c>
    </row>
    <row r="73" spans="1:6" x14ac:dyDescent="0.2">
      <c r="A73" t="s">
        <v>74</v>
      </c>
      <c r="B73">
        <v>537</v>
      </c>
      <c r="C73">
        <v>1.1843999999999999</v>
      </c>
      <c r="D73">
        <v>1</v>
      </c>
      <c r="E73">
        <f t="shared" si="2"/>
        <v>636.02279999999996</v>
      </c>
      <c r="F73" t="s">
        <v>202</v>
      </c>
    </row>
    <row r="74" spans="1:6" x14ac:dyDescent="0.2">
      <c r="A74" t="s">
        <v>75</v>
      </c>
      <c r="B74">
        <v>1714</v>
      </c>
      <c r="C74">
        <v>1.1843999999999999</v>
      </c>
      <c r="D74">
        <v>1</v>
      </c>
      <c r="E74">
        <f t="shared" si="2"/>
        <v>2030.0615999999998</v>
      </c>
      <c r="F74" t="s">
        <v>202</v>
      </c>
    </row>
    <row r="75" spans="1:6" x14ac:dyDescent="0.2">
      <c r="A75" t="s">
        <v>76</v>
      </c>
      <c r="B75">
        <v>213</v>
      </c>
      <c r="C75">
        <v>1325.4</v>
      </c>
      <c r="D75">
        <v>1</v>
      </c>
      <c r="E75">
        <f t="shared" si="2"/>
        <v>282310.2</v>
      </c>
      <c r="F75" t="s">
        <v>202</v>
      </c>
    </row>
    <row r="76" spans="1:6" x14ac:dyDescent="0.2">
      <c r="A76" t="s">
        <v>77</v>
      </c>
      <c r="B76">
        <v>213</v>
      </c>
      <c r="C76">
        <v>1325.4</v>
      </c>
      <c r="D76">
        <v>1</v>
      </c>
      <c r="E76">
        <f t="shared" si="2"/>
        <v>282310.2</v>
      </c>
      <c r="F76" t="s">
        <v>202</v>
      </c>
    </row>
    <row r="77" spans="1:6" x14ac:dyDescent="0.2">
      <c r="A77" t="s">
        <v>78</v>
      </c>
      <c r="B77">
        <v>213</v>
      </c>
      <c r="C77">
        <v>1325.4</v>
      </c>
      <c r="D77">
        <v>1</v>
      </c>
      <c r="E77">
        <f t="shared" si="2"/>
        <v>282310.2</v>
      </c>
      <c r="F77" t="s">
        <v>202</v>
      </c>
    </row>
    <row r="78" spans="1:6" x14ac:dyDescent="0.2">
      <c r="A78" t="s">
        <v>79</v>
      </c>
      <c r="B78">
        <v>4</v>
      </c>
      <c r="C78">
        <v>68972.123999999996</v>
      </c>
      <c r="D78">
        <v>1</v>
      </c>
      <c r="E78">
        <f t="shared" si="2"/>
        <v>275888.49599999998</v>
      </c>
      <c r="F78" t="s">
        <v>202</v>
      </c>
    </row>
    <row r="79" spans="1:6" x14ac:dyDescent="0.2">
      <c r="A79" t="s">
        <v>80</v>
      </c>
      <c r="B79">
        <v>4</v>
      </c>
      <c r="C79">
        <v>68972.123999999996</v>
      </c>
      <c r="D79">
        <v>1</v>
      </c>
      <c r="E79">
        <f t="shared" si="2"/>
        <v>275888.49599999998</v>
      </c>
      <c r="F79" t="s">
        <v>202</v>
      </c>
    </row>
    <row r="80" spans="1:6" x14ac:dyDescent="0.2">
      <c r="A80" t="s">
        <v>81</v>
      </c>
      <c r="B80">
        <v>4</v>
      </c>
      <c r="C80">
        <v>68972.123999999996</v>
      </c>
      <c r="D80">
        <v>1</v>
      </c>
      <c r="E80">
        <f t="shared" si="2"/>
        <v>275888.49599999998</v>
      </c>
      <c r="F80" t="s">
        <v>202</v>
      </c>
    </row>
    <row r="81" spans="1:6" x14ac:dyDescent="0.2">
      <c r="A81" t="s">
        <v>82</v>
      </c>
      <c r="B81">
        <v>241</v>
      </c>
      <c r="C81">
        <v>1078.5640840000001</v>
      </c>
      <c r="D81">
        <v>1</v>
      </c>
      <c r="E81">
        <f t="shared" si="2"/>
        <v>259933.94424400001</v>
      </c>
      <c r="F81" t="s">
        <v>202</v>
      </c>
    </row>
    <row r="82" spans="1:6" x14ac:dyDescent="0.2">
      <c r="A82" t="s">
        <v>83</v>
      </c>
      <c r="B82">
        <v>241</v>
      </c>
      <c r="C82">
        <v>1078.5640840000001</v>
      </c>
      <c r="D82">
        <v>1</v>
      </c>
      <c r="E82">
        <f t="shared" si="2"/>
        <v>259933.94424400001</v>
      </c>
      <c r="F82" t="s">
        <v>202</v>
      </c>
    </row>
    <row r="83" spans="1:6" x14ac:dyDescent="0.2">
      <c r="A83" t="s">
        <v>84</v>
      </c>
      <c r="B83">
        <v>241</v>
      </c>
      <c r="C83">
        <v>1078.5640840000001</v>
      </c>
      <c r="D83">
        <v>1</v>
      </c>
      <c r="E83">
        <f t="shared" si="2"/>
        <v>259933.94424400001</v>
      </c>
      <c r="F83" t="s">
        <v>202</v>
      </c>
    </row>
    <row r="84" spans="1:6" x14ac:dyDescent="0.2">
      <c r="A84" t="s">
        <v>85</v>
      </c>
      <c r="B84">
        <v>44</v>
      </c>
      <c r="C84">
        <v>120</v>
      </c>
      <c r="D84">
        <v>1</v>
      </c>
      <c r="E84">
        <f t="shared" si="2"/>
        <v>5280</v>
      </c>
      <c r="F84" t="s">
        <v>202</v>
      </c>
    </row>
    <row r="85" spans="1:6" x14ac:dyDescent="0.2">
      <c r="A85" t="s">
        <v>86</v>
      </c>
      <c r="B85">
        <v>71</v>
      </c>
      <c r="C85">
        <v>120</v>
      </c>
      <c r="D85">
        <v>1</v>
      </c>
      <c r="E85">
        <f t="shared" si="2"/>
        <v>8520</v>
      </c>
      <c r="F85" t="s">
        <v>202</v>
      </c>
    </row>
    <row r="86" spans="1:6" x14ac:dyDescent="0.2">
      <c r="A86" t="s">
        <v>87</v>
      </c>
      <c r="B86">
        <v>537</v>
      </c>
      <c r="C86">
        <v>120</v>
      </c>
      <c r="D86">
        <v>1</v>
      </c>
      <c r="E86">
        <f t="shared" si="2"/>
        <v>64440</v>
      </c>
      <c r="F86" t="s">
        <v>202</v>
      </c>
    </row>
    <row r="87" spans="1:6" x14ac:dyDescent="0.2">
      <c r="A87" t="s">
        <v>88</v>
      </c>
      <c r="B87">
        <v>279</v>
      </c>
      <c r="C87">
        <v>120</v>
      </c>
      <c r="D87">
        <v>1</v>
      </c>
      <c r="E87">
        <f t="shared" si="2"/>
        <v>33480</v>
      </c>
      <c r="F87" t="s">
        <v>202</v>
      </c>
    </row>
    <row r="88" spans="1:6" x14ac:dyDescent="0.2">
      <c r="A88" t="s">
        <v>89</v>
      </c>
      <c r="B88">
        <v>530</v>
      </c>
      <c r="C88">
        <v>120</v>
      </c>
      <c r="D88">
        <v>1</v>
      </c>
      <c r="E88">
        <f t="shared" si="2"/>
        <v>63600</v>
      </c>
      <c r="F88" t="s">
        <v>202</v>
      </c>
    </row>
    <row r="89" spans="1:6" x14ac:dyDescent="0.2">
      <c r="A89" t="s">
        <v>90</v>
      </c>
      <c r="B89">
        <v>1714</v>
      </c>
      <c r="C89">
        <v>120</v>
      </c>
      <c r="D89">
        <v>1</v>
      </c>
      <c r="E89">
        <f t="shared" si="2"/>
        <v>205680</v>
      </c>
      <c r="F89" t="s">
        <v>202</v>
      </c>
    </row>
    <row r="90" spans="1:6" x14ac:dyDescent="0.2">
      <c r="A90" t="s">
        <v>91</v>
      </c>
      <c r="B90">
        <v>100</v>
      </c>
      <c r="C90">
        <v>400</v>
      </c>
      <c r="D90">
        <v>1</v>
      </c>
      <c r="E90">
        <f t="shared" si="2"/>
        <v>40000</v>
      </c>
      <c r="F90" t="s">
        <v>202</v>
      </c>
    </row>
    <row r="91" spans="1:6" x14ac:dyDescent="0.2">
      <c r="A91" t="s">
        <v>92</v>
      </c>
      <c r="B91">
        <v>100</v>
      </c>
      <c r="C91">
        <v>400</v>
      </c>
      <c r="D91">
        <v>1</v>
      </c>
      <c r="E91">
        <f t="shared" si="2"/>
        <v>40000</v>
      </c>
      <c r="F91" t="s">
        <v>202</v>
      </c>
    </row>
    <row r="92" spans="1:6" x14ac:dyDescent="0.2">
      <c r="A92" t="s">
        <v>93</v>
      </c>
      <c r="B92">
        <v>100</v>
      </c>
      <c r="C92">
        <v>400</v>
      </c>
      <c r="D92">
        <v>1</v>
      </c>
      <c r="E92">
        <f t="shared" si="2"/>
        <v>40000</v>
      </c>
      <c r="F92" t="s">
        <v>202</v>
      </c>
    </row>
    <row r="93" spans="1:6" x14ac:dyDescent="0.2">
      <c r="A93" t="s">
        <v>94</v>
      </c>
      <c r="B93">
        <v>1</v>
      </c>
      <c r="C93">
        <v>4145.3999999999996</v>
      </c>
      <c r="D93">
        <v>1</v>
      </c>
      <c r="E93">
        <f t="shared" si="2"/>
        <v>4145.3999999999996</v>
      </c>
      <c r="F93" t="s">
        <v>202</v>
      </c>
    </row>
    <row r="94" spans="1:6" x14ac:dyDescent="0.2">
      <c r="A94" t="s">
        <v>95</v>
      </c>
      <c r="B94">
        <v>1</v>
      </c>
      <c r="C94">
        <v>4145.3999999999996</v>
      </c>
      <c r="D94">
        <v>1</v>
      </c>
      <c r="E94">
        <f t="shared" si="2"/>
        <v>4145.3999999999996</v>
      </c>
      <c r="F94" t="s">
        <v>202</v>
      </c>
    </row>
    <row r="95" spans="1:6" x14ac:dyDescent="0.2">
      <c r="A95" t="s">
        <v>96</v>
      </c>
      <c r="B95">
        <v>1</v>
      </c>
      <c r="C95">
        <v>4145.3999999999996</v>
      </c>
      <c r="D95">
        <v>1</v>
      </c>
      <c r="E95">
        <f t="shared" si="2"/>
        <v>4145.3999999999996</v>
      </c>
      <c r="F95" t="s">
        <v>202</v>
      </c>
    </row>
    <row r="96" spans="1:6" x14ac:dyDescent="0.2">
      <c r="A96" t="s">
        <v>97</v>
      </c>
      <c r="B96">
        <v>279</v>
      </c>
      <c r="C96">
        <v>17</v>
      </c>
      <c r="D96">
        <v>1</v>
      </c>
      <c r="E96">
        <f t="shared" si="2"/>
        <v>4743</v>
      </c>
      <c r="F96" t="s">
        <v>202</v>
      </c>
    </row>
    <row r="97" spans="1:6" x14ac:dyDescent="0.2">
      <c r="A97" t="s">
        <v>98</v>
      </c>
      <c r="B97">
        <v>530</v>
      </c>
      <c r="C97">
        <v>17</v>
      </c>
      <c r="D97">
        <v>1</v>
      </c>
      <c r="E97">
        <f t="shared" si="2"/>
        <v>9010</v>
      </c>
      <c r="F97" t="s">
        <v>202</v>
      </c>
    </row>
    <row r="98" spans="1:6" x14ac:dyDescent="0.2">
      <c r="A98" t="s">
        <v>99</v>
      </c>
      <c r="B98">
        <v>1714</v>
      </c>
      <c r="C98">
        <v>17</v>
      </c>
      <c r="D98">
        <v>1</v>
      </c>
      <c r="E98">
        <f t="shared" si="2"/>
        <v>29138</v>
      </c>
      <c r="F98" t="s">
        <v>202</v>
      </c>
    </row>
    <row r="99" spans="1:6" x14ac:dyDescent="0.2">
      <c r="A99" t="s">
        <v>100</v>
      </c>
      <c r="B99">
        <v>44</v>
      </c>
      <c r="C99">
        <v>48</v>
      </c>
      <c r="D99">
        <v>1</v>
      </c>
      <c r="E99">
        <f t="shared" ref="E99:E120" si="3">B99*C99</f>
        <v>2112</v>
      </c>
      <c r="F99" t="s">
        <v>202</v>
      </c>
    </row>
    <row r="100" spans="1:6" x14ac:dyDescent="0.2">
      <c r="A100" t="s">
        <v>101</v>
      </c>
      <c r="B100">
        <v>71</v>
      </c>
      <c r="C100">
        <v>48</v>
      </c>
      <c r="D100">
        <v>1</v>
      </c>
      <c r="E100">
        <f t="shared" si="3"/>
        <v>3408</v>
      </c>
      <c r="F100" t="s">
        <v>202</v>
      </c>
    </row>
    <row r="101" spans="1:6" x14ac:dyDescent="0.2">
      <c r="A101" t="s">
        <v>102</v>
      </c>
      <c r="B101">
        <v>537</v>
      </c>
      <c r="C101">
        <v>48</v>
      </c>
      <c r="D101">
        <v>1</v>
      </c>
      <c r="E101">
        <f t="shared" si="3"/>
        <v>25776</v>
      </c>
      <c r="F101" t="s">
        <v>202</v>
      </c>
    </row>
    <row r="102" spans="1:6" x14ac:dyDescent="0.2">
      <c r="A102" t="s">
        <v>103</v>
      </c>
      <c r="B102">
        <v>44</v>
      </c>
      <c r="C102">
        <v>238.29</v>
      </c>
      <c r="D102">
        <v>1</v>
      </c>
      <c r="E102">
        <f t="shared" si="3"/>
        <v>10484.76</v>
      </c>
      <c r="F102" t="s">
        <v>202</v>
      </c>
    </row>
    <row r="103" spans="1:6" x14ac:dyDescent="0.2">
      <c r="A103" t="s">
        <v>104</v>
      </c>
      <c r="B103">
        <v>279</v>
      </c>
      <c r="C103">
        <v>238.29</v>
      </c>
      <c r="D103">
        <v>1</v>
      </c>
      <c r="E103">
        <f t="shared" si="3"/>
        <v>66482.91</v>
      </c>
      <c r="F103" t="s">
        <v>202</v>
      </c>
    </row>
    <row r="104" spans="1:6" x14ac:dyDescent="0.2">
      <c r="A104" t="s">
        <v>105</v>
      </c>
      <c r="B104">
        <v>71</v>
      </c>
      <c r="C104">
        <v>238.29</v>
      </c>
      <c r="D104">
        <v>1</v>
      </c>
      <c r="E104">
        <f t="shared" si="3"/>
        <v>16918.59</v>
      </c>
      <c r="F104" t="s">
        <v>202</v>
      </c>
    </row>
    <row r="105" spans="1:6" x14ac:dyDescent="0.2">
      <c r="A105" t="s">
        <v>106</v>
      </c>
      <c r="B105">
        <v>530</v>
      </c>
      <c r="C105">
        <v>238.29</v>
      </c>
      <c r="D105">
        <v>1</v>
      </c>
      <c r="E105">
        <f t="shared" si="3"/>
        <v>126293.7</v>
      </c>
      <c r="F105" t="s">
        <v>202</v>
      </c>
    </row>
    <row r="106" spans="1:6" x14ac:dyDescent="0.2">
      <c r="A106" t="s">
        <v>107</v>
      </c>
      <c r="B106">
        <v>537</v>
      </c>
      <c r="C106">
        <v>238.29</v>
      </c>
      <c r="D106">
        <v>1</v>
      </c>
      <c r="E106">
        <f t="shared" si="3"/>
        <v>127961.73</v>
      </c>
      <c r="F106" t="s">
        <v>202</v>
      </c>
    </row>
    <row r="107" spans="1:6" x14ac:dyDescent="0.2">
      <c r="A107" t="s">
        <v>108</v>
      </c>
      <c r="B107">
        <v>1714</v>
      </c>
      <c r="C107">
        <v>238.29</v>
      </c>
      <c r="D107">
        <v>1</v>
      </c>
      <c r="E107">
        <f t="shared" si="3"/>
        <v>408429.06</v>
      </c>
      <c r="F107" t="s">
        <v>202</v>
      </c>
    </row>
    <row r="108" spans="1:6" x14ac:dyDescent="0.2">
      <c r="A108" t="s">
        <v>109</v>
      </c>
      <c r="B108">
        <v>1</v>
      </c>
      <c r="C108">
        <v>2100</v>
      </c>
      <c r="D108">
        <v>1</v>
      </c>
      <c r="E108">
        <f t="shared" si="3"/>
        <v>2100</v>
      </c>
      <c r="F108" t="s">
        <v>202</v>
      </c>
    </row>
    <row r="109" spans="1:6" x14ac:dyDescent="0.2">
      <c r="A109" t="s">
        <v>110</v>
      </c>
      <c r="B109">
        <v>1</v>
      </c>
      <c r="C109">
        <v>2100</v>
      </c>
      <c r="D109">
        <v>1</v>
      </c>
      <c r="E109">
        <f t="shared" si="3"/>
        <v>2100</v>
      </c>
      <c r="F109" t="s">
        <v>202</v>
      </c>
    </row>
    <row r="110" spans="1:6" x14ac:dyDescent="0.2">
      <c r="A110" t="s">
        <v>111</v>
      </c>
      <c r="B110">
        <v>1</v>
      </c>
      <c r="C110">
        <v>2100</v>
      </c>
      <c r="D110">
        <v>1</v>
      </c>
      <c r="E110">
        <f t="shared" si="3"/>
        <v>2100</v>
      </c>
      <c r="F110" t="s">
        <v>202</v>
      </c>
    </row>
    <row r="111" spans="1:6" x14ac:dyDescent="0.2">
      <c r="A111" t="s">
        <v>112</v>
      </c>
      <c r="B111">
        <v>1</v>
      </c>
      <c r="C111">
        <v>2100</v>
      </c>
      <c r="D111">
        <v>1</v>
      </c>
      <c r="E111">
        <f t="shared" si="3"/>
        <v>2100</v>
      </c>
      <c r="F111" t="s">
        <v>202</v>
      </c>
    </row>
    <row r="112" spans="1:6" x14ac:dyDescent="0.2">
      <c r="A112" t="s">
        <v>113</v>
      </c>
      <c r="B112">
        <v>44</v>
      </c>
      <c r="C112">
        <v>152</v>
      </c>
      <c r="D112">
        <v>1</v>
      </c>
      <c r="E112">
        <f t="shared" si="3"/>
        <v>6688</v>
      </c>
      <c r="F112" t="s">
        <v>202</v>
      </c>
    </row>
    <row r="113" spans="1:6" x14ac:dyDescent="0.2">
      <c r="A113" t="s">
        <v>114</v>
      </c>
      <c r="B113">
        <v>71</v>
      </c>
      <c r="C113">
        <v>152</v>
      </c>
      <c r="D113">
        <v>1</v>
      </c>
      <c r="E113">
        <f t="shared" si="3"/>
        <v>10792</v>
      </c>
      <c r="F113" t="s">
        <v>202</v>
      </c>
    </row>
    <row r="114" spans="1:6" x14ac:dyDescent="0.2">
      <c r="A114" t="s">
        <v>115</v>
      </c>
      <c r="B114">
        <v>537</v>
      </c>
      <c r="C114">
        <v>152</v>
      </c>
      <c r="D114">
        <v>1</v>
      </c>
      <c r="E114">
        <f t="shared" si="3"/>
        <v>81624</v>
      </c>
      <c r="F114" t="s">
        <v>202</v>
      </c>
    </row>
    <row r="115" spans="1:6" x14ac:dyDescent="0.2">
      <c r="A115" t="s">
        <v>116</v>
      </c>
      <c r="B115">
        <v>279</v>
      </c>
      <c r="C115">
        <v>52.7</v>
      </c>
      <c r="D115">
        <v>1</v>
      </c>
      <c r="E115">
        <f t="shared" si="3"/>
        <v>14703.300000000001</v>
      </c>
      <c r="F115" t="s">
        <v>202</v>
      </c>
    </row>
    <row r="116" spans="1:6" x14ac:dyDescent="0.2">
      <c r="A116" t="s">
        <v>117</v>
      </c>
      <c r="B116">
        <v>530</v>
      </c>
      <c r="C116">
        <v>52.7</v>
      </c>
      <c r="D116">
        <v>1</v>
      </c>
      <c r="E116">
        <f t="shared" si="3"/>
        <v>27931</v>
      </c>
      <c r="F116" t="s">
        <v>202</v>
      </c>
    </row>
    <row r="117" spans="1:6" x14ac:dyDescent="0.2">
      <c r="A117" t="s">
        <v>118</v>
      </c>
      <c r="B117">
        <v>1714</v>
      </c>
      <c r="C117">
        <v>52.7</v>
      </c>
      <c r="D117">
        <v>1</v>
      </c>
      <c r="E117">
        <f t="shared" si="3"/>
        <v>90327.8</v>
      </c>
      <c r="F117" t="s">
        <v>202</v>
      </c>
    </row>
    <row r="118" spans="1:6" x14ac:dyDescent="0.2">
      <c r="A118" t="s">
        <v>119</v>
      </c>
      <c r="B118">
        <v>4</v>
      </c>
      <c r="C118">
        <v>71205</v>
      </c>
      <c r="D118">
        <v>1</v>
      </c>
      <c r="E118">
        <f t="shared" si="3"/>
        <v>284820</v>
      </c>
      <c r="F118" t="s">
        <v>202</v>
      </c>
    </row>
    <row r="119" spans="1:6" x14ac:dyDescent="0.2">
      <c r="A119" t="s">
        <v>120</v>
      </c>
      <c r="B119">
        <v>4</v>
      </c>
      <c r="C119">
        <v>71205</v>
      </c>
      <c r="D119">
        <v>1</v>
      </c>
      <c r="E119">
        <f t="shared" si="3"/>
        <v>284820</v>
      </c>
      <c r="F119" t="s">
        <v>202</v>
      </c>
    </row>
    <row r="120" spans="1:6" x14ac:dyDescent="0.2">
      <c r="A120" t="s">
        <v>121</v>
      </c>
      <c r="B120">
        <v>4</v>
      </c>
      <c r="C120">
        <v>71205</v>
      </c>
      <c r="D120">
        <v>1</v>
      </c>
      <c r="E120">
        <f t="shared" si="3"/>
        <v>284820</v>
      </c>
      <c r="F120" t="s">
        <v>202</v>
      </c>
    </row>
    <row r="122" spans="1:6" x14ac:dyDescent="0.2">
      <c r="A122" t="s">
        <v>198</v>
      </c>
    </row>
    <row r="123" spans="1:6" x14ac:dyDescent="0.2">
      <c r="A123" t="s">
        <v>192</v>
      </c>
    </row>
    <row r="124" spans="1:6" x14ac:dyDescent="0.2">
      <c r="A124" t="s">
        <v>193</v>
      </c>
    </row>
    <row r="125" spans="1:6" x14ac:dyDescent="0.2">
      <c r="A125" t="s">
        <v>194</v>
      </c>
    </row>
    <row r="126" spans="1:6" x14ac:dyDescent="0.2">
      <c r="A126" t="s">
        <v>195</v>
      </c>
    </row>
    <row r="127" spans="1:6" x14ac:dyDescent="0.2">
      <c r="A127" t="s">
        <v>196</v>
      </c>
    </row>
    <row r="128" spans="1:6" x14ac:dyDescent="0.2">
      <c r="A128" t="s">
        <v>197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zoomScale="130" zoomScaleNormal="130" workbookViewId="0"/>
  </sheetViews>
  <sheetFormatPr defaultColWidth="11.5703125" defaultRowHeight="12.75" x14ac:dyDescent="0.2"/>
  <cols>
    <col min="1" max="1" width="55.5703125" bestFit="1" customWidth="1"/>
    <col min="2" max="2" width="52.85546875" bestFit="1" customWidth="1"/>
    <col min="3" max="3" width="12" bestFit="1" customWidth="1"/>
    <col min="4" max="4" width="14.140625" bestFit="1" customWidth="1"/>
    <col min="5" max="6" width="18.28515625" bestFit="1" customWidth="1"/>
  </cols>
  <sheetData>
    <row r="1" spans="1:5" x14ac:dyDescent="0.2">
      <c r="A1" s="2"/>
      <c r="B1" t="s">
        <v>0</v>
      </c>
      <c r="C1" t="s">
        <v>122</v>
      </c>
      <c r="D1" t="s">
        <v>1</v>
      </c>
      <c r="E1" t="s">
        <v>123</v>
      </c>
    </row>
    <row r="2" spans="1:5" x14ac:dyDescent="0.2">
      <c r="A2" t="s">
        <v>5</v>
      </c>
      <c r="B2" t="s">
        <v>124</v>
      </c>
    </row>
    <row r="3" spans="1:5" x14ac:dyDescent="0.2">
      <c r="A3" t="s">
        <v>200</v>
      </c>
      <c r="B3" t="s">
        <v>125</v>
      </c>
    </row>
    <row r="4" spans="1:5" x14ac:dyDescent="0.2">
      <c r="A4" t="s">
        <v>201</v>
      </c>
      <c r="B4" t="s">
        <v>126</v>
      </c>
      <c r="C4">
        <v>16</v>
      </c>
    </row>
    <row r="5" spans="1:5" x14ac:dyDescent="0.2">
      <c r="A5" t="s">
        <v>7</v>
      </c>
      <c r="B5" t="s">
        <v>150</v>
      </c>
      <c r="D5" t="str">
        <f>IF(C5="","",VLOOKUP(A5,unit!$A$3:$B$120,2,FALSE))</f>
        <v/>
      </c>
      <c r="E5" t="str">
        <f t="shared" ref="E5:E66" si="0">IF(C5&lt;&gt;"",C5*D5,"")</f>
        <v/>
      </c>
    </row>
    <row r="6" spans="1:5" x14ac:dyDescent="0.2">
      <c r="A6" t="s">
        <v>8</v>
      </c>
      <c r="B6" t="s">
        <v>154</v>
      </c>
      <c r="D6" t="str">
        <f>IF(C6="","",VLOOKUP(A6,unit!$A$3:$B$120,2,FALSE))</f>
        <v/>
      </c>
      <c r="E6" t="str">
        <f t="shared" si="0"/>
        <v/>
      </c>
    </row>
    <row r="7" spans="1:5" x14ac:dyDescent="0.2">
      <c r="A7" t="s">
        <v>9</v>
      </c>
      <c r="B7" t="s">
        <v>158</v>
      </c>
      <c r="D7" t="str">
        <f>IF(C7="","",VLOOKUP(A7,unit!$A$3:$B$120,2,FALSE))</f>
        <v/>
      </c>
      <c r="E7" t="str">
        <f t="shared" si="0"/>
        <v/>
      </c>
    </row>
    <row r="8" spans="1:5" x14ac:dyDescent="0.2">
      <c r="A8" t="s">
        <v>10</v>
      </c>
      <c r="B8" t="s">
        <v>152</v>
      </c>
      <c r="D8" t="str">
        <f>IF(C8="","",VLOOKUP(A8,unit!$A$3:$B$120,2,FALSE))</f>
        <v/>
      </c>
      <c r="E8" t="str">
        <f t="shared" si="0"/>
        <v/>
      </c>
    </row>
    <row r="9" spans="1:5" x14ac:dyDescent="0.2">
      <c r="A9" t="s">
        <v>11</v>
      </c>
      <c r="B9" t="s">
        <v>156</v>
      </c>
      <c r="D9" t="str">
        <f>IF(C9="","",VLOOKUP(A9,unit!$A$3:$B$120,2,FALSE))</f>
        <v/>
      </c>
      <c r="E9" t="str">
        <f t="shared" si="0"/>
        <v/>
      </c>
    </row>
    <row r="10" spans="1:5" x14ac:dyDescent="0.2">
      <c r="A10" t="s">
        <v>12</v>
      </c>
      <c r="B10" t="s">
        <v>160</v>
      </c>
      <c r="D10" t="str">
        <f>IF(C10="","",VLOOKUP(A10,unit!$A$3:$B$120,2,FALSE))</f>
        <v/>
      </c>
      <c r="E10" t="str">
        <f t="shared" si="0"/>
        <v/>
      </c>
    </row>
    <row r="11" spans="1:5" x14ac:dyDescent="0.2">
      <c r="A11" t="s">
        <v>13</v>
      </c>
      <c r="B11" t="s">
        <v>165</v>
      </c>
      <c r="D11" t="str">
        <f>IF(C11="","",VLOOKUP(A11,unit!$A$3:$B$120,2,FALSE))</f>
        <v/>
      </c>
      <c r="E11" t="str">
        <f t="shared" si="0"/>
        <v/>
      </c>
    </row>
    <row r="12" spans="1:5" x14ac:dyDescent="0.2">
      <c r="A12" t="s">
        <v>14</v>
      </c>
      <c r="B12" t="s">
        <v>170</v>
      </c>
      <c r="D12" t="str">
        <f>IF(C12="","",VLOOKUP(A12,unit!$A$3:$B$120,2,FALSE))</f>
        <v/>
      </c>
      <c r="E12" t="str">
        <f t="shared" si="0"/>
        <v/>
      </c>
    </row>
    <row r="13" spans="1:5" x14ac:dyDescent="0.2">
      <c r="A13" t="s">
        <v>15</v>
      </c>
      <c r="B13" t="s">
        <v>172</v>
      </c>
      <c r="D13" t="str">
        <f>IF(C13="","",VLOOKUP(A13,unit!$A$3:$B$120,2,FALSE))</f>
        <v/>
      </c>
      <c r="E13" t="str">
        <f t="shared" si="0"/>
        <v/>
      </c>
    </row>
    <row r="14" spans="1:5" x14ac:dyDescent="0.2">
      <c r="A14" t="s">
        <v>16</v>
      </c>
      <c r="B14" t="s">
        <v>166</v>
      </c>
      <c r="D14" t="str">
        <f>IF(C14="","",VLOOKUP(A14,unit!$A$3:$B$120,2,FALSE))</f>
        <v/>
      </c>
      <c r="E14" t="str">
        <f t="shared" si="0"/>
        <v/>
      </c>
    </row>
    <row r="15" spans="1:5" x14ac:dyDescent="0.2">
      <c r="A15" t="s">
        <v>17</v>
      </c>
      <c r="B15" t="s">
        <v>171</v>
      </c>
      <c r="D15" t="str">
        <f>IF(C15="","",VLOOKUP(A15,unit!$A$3:$B$120,2,FALSE))</f>
        <v/>
      </c>
      <c r="E15" t="str">
        <f t="shared" si="0"/>
        <v/>
      </c>
    </row>
    <row r="16" spans="1:5" x14ac:dyDescent="0.2">
      <c r="A16" t="s">
        <v>18</v>
      </c>
      <c r="B16" t="s">
        <v>173</v>
      </c>
      <c r="D16" t="str">
        <f>IF(C16="","",VLOOKUP(A16,unit!$A$3:$B$120,2,FALSE))</f>
        <v/>
      </c>
      <c r="E16" t="str">
        <f t="shared" si="0"/>
        <v/>
      </c>
    </row>
    <row r="17" spans="1:5" x14ac:dyDescent="0.2">
      <c r="A17" t="s">
        <v>19</v>
      </c>
      <c r="B17" t="s">
        <v>167</v>
      </c>
      <c r="D17" t="str">
        <f>IF(C17="","",VLOOKUP(A17,unit!$A$3:$B$120,2,FALSE))</f>
        <v/>
      </c>
      <c r="E17" t="str">
        <f t="shared" si="0"/>
        <v/>
      </c>
    </row>
    <row r="18" spans="1:5" x14ac:dyDescent="0.2">
      <c r="A18" t="s">
        <v>20</v>
      </c>
      <c r="B18" t="s">
        <v>168</v>
      </c>
      <c r="D18" t="str">
        <f>IF(C18="","",VLOOKUP(A18,unit!$A$3:$B$120,2,FALSE))</f>
        <v/>
      </c>
      <c r="E18" t="str">
        <f t="shared" si="0"/>
        <v/>
      </c>
    </row>
    <row r="19" spans="1:5" x14ac:dyDescent="0.2">
      <c r="A19" t="s">
        <v>21</v>
      </c>
      <c r="B19" t="s">
        <v>169</v>
      </c>
      <c r="D19" t="str">
        <f>IF(C19="","",VLOOKUP(A19,unit!$A$3:$B$120,2,FALSE))</f>
        <v/>
      </c>
      <c r="E19" t="str">
        <f t="shared" si="0"/>
        <v/>
      </c>
    </row>
    <row r="20" spans="1:5" x14ac:dyDescent="0.2">
      <c r="A20" t="s">
        <v>22</v>
      </c>
      <c r="B20" t="s">
        <v>22</v>
      </c>
      <c r="D20" t="str">
        <f>IF(C20="","",VLOOKUP(A20,unit!$A$3:$B$120,2,FALSE))</f>
        <v/>
      </c>
      <c r="E20" t="str">
        <f t="shared" si="0"/>
        <v/>
      </c>
    </row>
    <row r="21" spans="1:5" x14ac:dyDescent="0.2">
      <c r="A21" t="s">
        <v>22</v>
      </c>
      <c r="B21" t="s">
        <v>127</v>
      </c>
      <c r="C21">
        <v>150</v>
      </c>
      <c r="D21">
        <f>IF(C21="","",VLOOKUP(A21,unit!$A$3:$B$120,2,FALSE))</f>
        <v>1</v>
      </c>
      <c r="E21">
        <f t="shared" si="0"/>
        <v>150</v>
      </c>
    </row>
    <row r="22" spans="1:5" x14ac:dyDescent="0.2">
      <c r="A22" t="s">
        <v>23</v>
      </c>
      <c r="B22" t="s">
        <v>23</v>
      </c>
      <c r="D22" t="str">
        <f>IF(C22="","",VLOOKUP(A22,unit!$A$3:$B$120,2,FALSE))</f>
        <v/>
      </c>
      <c r="E22" t="str">
        <f t="shared" si="0"/>
        <v/>
      </c>
    </row>
    <row r="23" spans="1:5" x14ac:dyDescent="0.2">
      <c r="A23" t="s">
        <v>23</v>
      </c>
      <c r="B23" t="s">
        <v>128</v>
      </c>
      <c r="C23">
        <v>150</v>
      </c>
      <c r="D23">
        <f>IF(C23="","",VLOOKUP(A23,unit!$A$3:$B$120,2,FALSE))</f>
        <v>1</v>
      </c>
      <c r="E23">
        <f t="shared" si="0"/>
        <v>150</v>
      </c>
    </row>
    <row r="24" spans="1:5" x14ac:dyDescent="0.2">
      <c r="A24" t="s">
        <v>24</v>
      </c>
      <c r="B24" t="s">
        <v>24</v>
      </c>
      <c r="D24" t="str">
        <f>IF(C24="","",VLOOKUP(A24,unit!$A$3:$B$120,2,FALSE))</f>
        <v/>
      </c>
      <c r="E24" t="str">
        <f t="shared" si="0"/>
        <v/>
      </c>
    </row>
    <row r="25" spans="1:5" x14ac:dyDescent="0.2">
      <c r="A25" t="s">
        <v>24</v>
      </c>
      <c r="B25" t="s">
        <v>129</v>
      </c>
      <c r="C25">
        <v>150</v>
      </c>
      <c r="D25">
        <f>IF(C25="","",VLOOKUP(A25,unit!$A$3:$B$120,2,FALSE))</f>
        <v>1</v>
      </c>
      <c r="E25">
        <f t="shared" si="0"/>
        <v>150</v>
      </c>
    </row>
    <row r="26" spans="1:5" x14ac:dyDescent="0.2">
      <c r="A26" t="s">
        <v>25</v>
      </c>
      <c r="B26" t="s">
        <v>130</v>
      </c>
      <c r="C26">
        <v>0.08</v>
      </c>
      <c r="D26">
        <f>IF(C26="","",VLOOKUP(A26,unit!$A$3:$B$120,2,FALSE))</f>
        <v>44</v>
      </c>
      <c r="E26">
        <f t="shared" si="0"/>
        <v>3.52</v>
      </c>
    </row>
    <row r="27" spans="1:5" x14ac:dyDescent="0.2">
      <c r="A27" t="s">
        <v>26</v>
      </c>
      <c r="B27" t="s">
        <v>131</v>
      </c>
      <c r="C27">
        <v>0.08</v>
      </c>
      <c r="D27">
        <f>IF(C27="","",VLOOKUP(A27,unit!$A$3:$B$120,2,FALSE))</f>
        <v>71</v>
      </c>
      <c r="E27">
        <f t="shared" si="0"/>
        <v>5.68</v>
      </c>
    </row>
    <row r="28" spans="1:5" x14ac:dyDescent="0.2">
      <c r="A28" t="s">
        <v>27</v>
      </c>
      <c r="B28" t="s">
        <v>132</v>
      </c>
      <c r="C28">
        <v>0.08</v>
      </c>
      <c r="D28">
        <f>IF(C28="","",VLOOKUP(A28,unit!$A$3:$B$120,2,FALSE))</f>
        <v>537</v>
      </c>
      <c r="E28">
        <f t="shared" si="0"/>
        <v>42.96</v>
      </c>
    </row>
    <row r="29" spans="1:5" x14ac:dyDescent="0.2">
      <c r="A29" t="s">
        <v>28</v>
      </c>
      <c r="B29" t="s">
        <v>133</v>
      </c>
      <c r="C29">
        <v>1.7000000000000001E-2</v>
      </c>
      <c r="D29">
        <f>IF(C29="","",VLOOKUP(A29,unit!$A$3:$B$120,2,FALSE))</f>
        <v>279</v>
      </c>
      <c r="E29">
        <f t="shared" si="0"/>
        <v>4.7430000000000003</v>
      </c>
    </row>
    <row r="30" spans="1:5" x14ac:dyDescent="0.2">
      <c r="A30" t="s">
        <v>29</v>
      </c>
      <c r="B30" t="s">
        <v>134</v>
      </c>
      <c r="C30">
        <v>1.7000000000000001E-2</v>
      </c>
      <c r="D30">
        <f>IF(C30="","",VLOOKUP(A30,unit!$A$3:$B$120,2,FALSE))</f>
        <v>530</v>
      </c>
      <c r="E30">
        <f t="shared" si="0"/>
        <v>9.01</v>
      </c>
    </row>
    <row r="31" spans="1:5" x14ac:dyDescent="0.2">
      <c r="A31" t="s">
        <v>30</v>
      </c>
      <c r="B31" t="s">
        <v>135</v>
      </c>
      <c r="C31">
        <v>1.7000000000000001E-2</v>
      </c>
      <c r="D31">
        <f>IF(C31="","",VLOOKUP(A31,unit!$A$3:$B$120,2,FALSE))</f>
        <v>1714</v>
      </c>
      <c r="E31">
        <f t="shared" si="0"/>
        <v>29.138000000000002</v>
      </c>
    </row>
    <row r="32" spans="1:5" x14ac:dyDescent="0.2">
      <c r="A32" t="s">
        <v>31</v>
      </c>
      <c r="B32" t="s">
        <v>31</v>
      </c>
      <c r="D32" t="str">
        <f>IF(C32="","",VLOOKUP(A32,unit!$A$3:$B$120,2,FALSE))</f>
        <v/>
      </c>
      <c r="E32" t="str">
        <f t="shared" si="0"/>
        <v/>
      </c>
    </row>
    <row r="33" spans="1:5" x14ac:dyDescent="0.2">
      <c r="A33" t="s">
        <v>31</v>
      </c>
      <c r="B33" t="s">
        <v>130</v>
      </c>
      <c r="C33">
        <v>70</v>
      </c>
      <c r="D33">
        <f>IF(C33="","",VLOOKUP(A33,unit!$A$3:$B$120,2,FALSE))</f>
        <v>44</v>
      </c>
      <c r="E33">
        <f t="shared" si="0"/>
        <v>3080</v>
      </c>
    </row>
    <row r="34" spans="1:5" x14ac:dyDescent="0.2">
      <c r="A34" t="s">
        <v>32</v>
      </c>
      <c r="B34" t="s">
        <v>32</v>
      </c>
      <c r="D34" t="str">
        <f>IF(C34="","",VLOOKUP(A34,unit!$A$3:$B$120,2,FALSE))</f>
        <v/>
      </c>
      <c r="E34" t="str">
        <f t="shared" si="0"/>
        <v/>
      </c>
    </row>
    <row r="35" spans="1:5" x14ac:dyDescent="0.2">
      <c r="A35" t="s">
        <v>32</v>
      </c>
      <c r="B35" t="s">
        <v>133</v>
      </c>
      <c r="C35">
        <v>70</v>
      </c>
      <c r="D35">
        <f>IF(C35="","",VLOOKUP(A35,unit!$A$3:$B$120,2,FALSE))</f>
        <v>279</v>
      </c>
      <c r="E35">
        <f t="shared" si="0"/>
        <v>19530</v>
      </c>
    </row>
    <row r="36" spans="1:5" x14ac:dyDescent="0.2">
      <c r="A36" t="s">
        <v>33</v>
      </c>
      <c r="B36" t="s">
        <v>33</v>
      </c>
      <c r="D36" t="str">
        <f>IF(C36="","",VLOOKUP(A36,unit!$A$3:$B$120,2,FALSE))</f>
        <v/>
      </c>
      <c r="E36" t="str">
        <f t="shared" si="0"/>
        <v/>
      </c>
    </row>
    <row r="37" spans="1:5" x14ac:dyDescent="0.2">
      <c r="A37" t="s">
        <v>33</v>
      </c>
      <c r="B37" t="s">
        <v>131</v>
      </c>
      <c r="C37">
        <v>70</v>
      </c>
      <c r="D37">
        <f>IF(C37="","",VLOOKUP(A37,unit!$A$3:$B$120,2,FALSE))</f>
        <v>71</v>
      </c>
      <c r="E37">
        <f t="shared" si="0"/>
        <v>4970</v>
      </c>
    </row>
    <row r="38" spans="1:5" x14ac:dyDescent="0.2">
      <c r="A38" t="s">
        <v>34</v>
      </c>
      <c r="B38" t="s">
        <v>34</v>
      </c>
      <c r="D38" t="str">
        <f>IF(C38="","",VLOOKUP(A38,unit!$A$3:$B$120,2,FALSE))</f>
        <v/>
      </c>
      <c r="E38" t="str">
        <f t="shared" si="0"/>
        <v/>
      </c>
    </row>
    <row r="39" spans="1:5" x14ac:dyDescent="0.2">
      <c r="A39" t="s">
        <v>34</v>
      </c>
      <c r="B39" t="s">
        <v>134</v>
      </c>
      <c r="C39">
        <v>70</v>
      </c>
      <c r="D39">
        <f>IF(C39="","",VLOOKUP(A39,unit!$A$3:$B$120,2,FALSE))</f>
        <v>530</v>
      </c>
      <c r="E39">
        <f t="shared" si="0"/>
        <v>37100</v>
      </c>
    </row>
    <row r="40" spans="1:5" x14ac:dyDescent="0.2">
      <c r="A40" t="s">
        <v>35</v>
      </c>
      <c r="B40" t="s">
        <v>35</v>
      </c>
      <c r="D40" t="str">
        <f>IF(C40="","",VLOOKUP(A40,unit!$A$3:$B$120,2,FALSE))</f>
        <v/>
      </c>
      <c r="E40" t="str">
        <f t="shared" si="0"/>
        <v/>
      </c>
    </row>
    <row r="41" spans="1:5" x14ac:dyDescent="0.2">
      <c r="A41" t="s">
        <v>35</v>
      </c>
      <c r="B41" t="s">
        <v>132</v>
      </c>
      <c r="C41">
        <v>70</v>
      </c>
      <c r="D41">
        <f>IF(C41="","",VLOOKUP(A41,unit!$A$3:$B$120,2,FALSE))</f>
        <v>537</v>
      </c>
      <c r="E41">
        <f t="shared" si="0"/>
        <v>37590</v>
      </c>
    </row>
    <row r="42" spans="1:5" x14ac:dyDescent="0.2">
      <c r="A42" t="s">
        <v>36</v>
      </c>
      <c r="B42" t="s">
        <v>36</v>
      </c>
      <c r="D42" t="str">
        <f>IF(C42="","",VLOOKUP(A42,unit!$A$3:$B$120,2,FALSE))</f>
        <v/>
      </c>
      <c r="E42" t="str">
        <f t="shared" si="0"/>
        <v/>
      </c>
    </row>
    <row r="43" spans="1:5" x14ac:dyDescent="0.2">
      <c r="A43" t="s">
        <v>36</v>
      </c>
      <c r="B43" t="s">
        <v>135</v>
      </c>
      <c r="C43">
        <v>70</v>
      </c>
      <c r="D43">
        <f>IF(C43="","",VLOOKUP(A43,unit!$A$3:$B$120,2,FALSE))</f>
        <v>1714</v>
      </c>
      <c r="E43">
        <f t="shared" si="0"/>
        <v>119980</v>
      </c>
    </row>
    <row r="44" spans="1:5" x14ac:dyDescent="0.2">
      <c r="A44" t="s">
        <v>37</v>
      </c>
      <c r="B44" t="s">
        <v>37</v>
      </c>
      <c r="D44" t="str">
        <f>IF(C44="","",VLOOKUP(A44,unit!$A$3:$B$120,2,FALSE))</f>
        <v/>
      </c>
      <c r="E44" t="str">
        <f t="shared" si="0"/>
        <v/>
      </c>
    </row>
    <row r="45" spans="1:5" x14ac:dyDescent="0.2">
      <c r="A45" t="s">
        <v>37</v>
      </c>
      <c r="B45" t="s">
        <v>127</v>
      </c>
      <c r="C45">
        <v>9.5000000000000001E-2</v>
      </c>
      <c r="D45">
        <f>IF(C45="","",VLOOKUP(A45,unit!$A$3:$B$120,2,FALSE))</f>
        <v>60</v>
      </c>
      <c r="E45">
        <f t="shared" si="0"/>
        <v>5.7</v>
      </c>
    </row>
    <row r="46" spans="1:5" x14ac:dyDescent="0.2">
      <c r="A46" t="s">
        <v>38</v>
      </c>
      <c r="B46" t="s">
        <v>38</v>
      </c>
      <c r="D46" t="str">
        <f>IF(C46="","",VLOOKUP(A46,unit!$A$3:$B$120,2,FALSE))</f>
        <v/>
      </c>
      <c r="E46" t="str">
        <f t="shared" si="0"/>
        <v/>
      </c>
    </row>
    <row r="47" spans="1:5" x14ac:dyDescent="0.2">
      <c r="A47" t="s">
        <v>38</v>
      </c>
      <c r="B47" t="s">
        <v>128</v>
      </c>
      <c r="C47">
        <v>9.5000000000000001E-2</v>
      </c>
      <c r="D47">
        <f>IF(C47="","",VLOOKUP(A47,unit!$A$3:$B$120,2,FALSE))</f>
        <v>60</v>
      </c>
      <c r="E47">
        <f t="shared" si="0"/>
        <v>5.7</v>
      </c>
    </row>
    <row r="48" spans="1:5" x14ac:dyDescent="0.2">
      <c r="A48" t="s">
        <v>39</v>
      </c>
      <c r="B48" t="s">
        <v>39</v>
      </c>
      <c r="D48" t="str">
        <f>IF(C48="","",VLOOKUP(A48,unit!$A$3:$B$120,2,FALSE))</f>
        <v/>
      </c>
      <c r="E48" t="str">
        <f t="shared" si="0"/>
        <v/>
      </c>
    </row>
    <row r="49" spans="1:5" x14ac:dyDescent="0.2">
      <c r="A49" t="s">
        <v>39</v>
      </c>
      <c r="B49" t="s">
        <v>129</v>
      </c>
      <c r="C49">
        <v>9.5000000000000001E-2</v>
      </c>
      <c r="D49">
        <f>IF(C49="","",VLOOKUP(A49,unit!$A$3:$B$120,2,FALSE))</f>
        <v>60</v>
      </c>
      <c r="E49">
        <f t="shared" si="0"/>
        <v>5.7</v>
      </c>
    </row>
    <row r="50" spans="1:5" x14ac:dyDescent="0.2">
      <c r="A50" t="s">
        <v>189</v>
      </c>
      <c r="B50" t="s">
        <v>136</v>
      </c>
      <c r="C50">
        <v>100</v>
      </c>
      <c r="D50">
        <f>IF(C50="","",VLOOKUP(A50,unit!$A$3:$B$120,2,FALSE))</f>
        <v>1</v>
      </c>
      <c r="E50">
        <f t="shared" si="0"/>
        <v>100</v>
      </c>
    </row>
    <row r="51" spans="1:5" x14ac:dyDescent="0.2">
      <c r="A51" t="s">
        <v>190</v>
      </c>
      <c r="B51" t="s">
        <v>137</v>
      </c>
      <c r="C51">
        <v>100</v>
      </c>
      <c r="D51">
        <f>IF(C51="","",VLOOKUP(A51,unit!$A$3:$B$120,2,FALSE))</f>
        <v>1</v>
      </c>
      <c r="E51">
        <f t="shared" si="0"/>
        <v>100</v>
      </c>
    </row>
    <row r="52" spans="1:5" x14ac:dyDescent="0.2">
      <c r="A52" t="s">
        <v>191</v>
      </c>
      <c r="B52" t="s">
        <v>126</v>
      </c>
      <c r="C52">
        <v>100</v>
      </c>
      <c r="D52">
        <f>IF(C52="","",VLOOKUP(A52,unit!$A$3:$B$120,2,FALSE))</f>
        <v>1</v>
      </c>
      <c r="E52">
        <f t="shared" si="0"/>
        <v>100</v>
      </c>
    </row>
    <row r="53" spans="1:5" x14ac:dyDescent="0.2">
      <c r="A53" t="s">
        <v>40</v>
      </c>
      <c r="B53" t="s">
        <v>136</v>
      </c>
      <c r="C53">
        <v>10</v>
      </c>
      <c r="D53">
        <f>IF(C53="","",VLOOKUP(A53,unit!$A$3:$B$120,2,FALSE))</f>
        <v>10</v>
      </c>
      <c r="E53">
        <f t="shared" si="0"/>
        <v>100</v>
      </c>
    </row>
    <row r="54" spans="1:5" x14ac:dyDescent="0.2">
      <c r="A54" t="s">
        <v>41</v>
      </c>
      <c r="B54" t="s">
        <v>137</v>
      </c>
      <c r="C54">
        <v>10</v>
      </c>
      <c r="D54">
        <f>IF(C54="","",VLOOKUP(A54,unit!$A$3:$B$120,2,FALSE))</f>
        <v>10</v>
      </c>
      <c r="E54">
        <f t="shared" si="0"/>
        <v>100</v>
      </c>
    </row>
    <row r="55" spans="1:5" x14ac:dyDescent="0.2">
      <c r="A55" t="s">
        <v>42</v>
      </c>
      <c r="B55" t="s">
        <v>126</v>
      </c>
      <c r="C55">
        <v>10</v>
      </c>
      <c r="D55">
        <f>IF(C55="","",VLOOKUP(A55,unit!$A$3:$B$120,2,FALSE))</f>
        <v>10</v>
      </c>
      <c r="E55">
        <f t="shared" si="0"/>
        <v>100</v>
      </c>
    </row>
    <row r="56" spans="1:5" x14ac:dyDescent="0.2">
      <c r="A56" t="s">
        <v>43</v>
      </c>
      <c r="B56" t="s">
        <v>136</v>
      </c>
      <c r="C56">
        <v>10</v>
      </c>
      <c r="D56">
        <f>IF(C56="","",VLOOKUP(A56,unit!$A$3:$B$120,2,FALSE))</f>
        <v>10</v>
      </c>
      <c r="E56">
        <f t="shared" si="0"/>
        <v>100</v>
      </c>
    </row>
    <row r="57" spans="1:5" x14ac:dyDescent="0.2">
      <c r="A57" t="s">
        <v>44</v>
      </c>
      <c r="B57" t="s">
        <v>137</v>
      </c>
      <c r="C57">
        <v>10</v>
      </c>
      <c r="D57">
        <f>IF(C57="","",VLOOKUP(A57,unit!$A$3:$B$120,2,FALSE))</f>
        <v>10</v>
      </c>
      <c r="E57">
        <f t="shared" si="0"/>
        <v>100</v>
      </c>
    </row>
    <row r="58" spans="1:5" x14ac:dyDescent="0.2">
      <c r="A58" t="s">
        <v>45</v>
      </c>
      <c r="B58" t="s">
        <v>126</v>
      </c>
      <c r="C58">
        <v>10</v>
      </c>
      <c r="D58">
        <f>IF(C58="","",VLOOKUP(A58,unit!$A$3:$B$120,2,FALSE))</f>
        <v>10</v>
      </c>
      <c r="E58">
        <f t="shared" si="0"/>
        <v>100</v>
      </c>
    </row>
    <row r="59" spans="1:5" x14ac:dyDescent="0.2">
      <c r="A59" t="s">
        <v>46</v>
      </c>
      <c r="B59" t="s">
        <v>127</v>
      </c>
      <c r="D59" t="str">
        <f>IF(C59="","",VLOOKUP(A59,unit!$A$3:$B$120,2,FALSE))</f>
        <v/>
      </c>
      <c r="E59" t="str">
        <f t="shared" si="0"/>
        <v/>
      </c>
    </row>
    <row r="60" spans="1:5" x14ac:dyDescent="0.2">
      <c r="A60" t="s">
        <v>47</v>
      </c>
      <c r="B60" t="s">
        <v>128</v>
      </c>
      <c r="D60" t="str">
        <f>IF(C60="","",VLOOKUP(A60,unit!$A$3:$B$120,2,FALSE))</f>
        <v/>
      </c>
      <c r="E60" t="str">
        <f t="shared" si="0"/>
        <v/>
      </c>
    </row>
    <row r="61" spans="1:5" x14ac:dyDescent="0.2">
      <c r="A61" t="s">
        <v>48</v>
      </c>
      <c r="B61" t="s">
        <v>129</v>
      </c>
      <c r="D61" t="str">
        <f>IF(C61="","",VLOOKUP(A61,unit!$A$3:$B$120,2,FALSE))</f>
        <v/>
      </c>
      <c r="E61" t="str">
        <f t="shared" si="0"/>
        <v/>
      </c>
    </row>
    <row r="62" spans="1:5" x14ac:dyDescent="0.2">
      <c r="A62" t="s">
        <v>49</v>
      </c>
      <c r="B62" t="s">
        <v>136</v>
      </c>
      <c r="C62">
        <v>1</v>
      </c>
      <c r="D62">
        <f>IF(C62="","",VLOOKUP(A62,unit!$A$3:$B$120,2,FALSE))</f>
        <v>100</v>
      </c>
      <c r="E62">
        <f t="shared" si="0"/>
        <v>100</v>
      </c>
    </row>
    <row r="63" spans="1:5" x14ac:dyDescent="0.2">
      <c r="A63" t="s">
        <v>50</v>
      </c>
      <c r="B63" t="s">
        <v>137</v>
      </c>
      <c r="C63">
        <v>1</v>
      </c>
      <c r="D63">
        <f>IF(C63="","",VLOOKUP(A63,unit!$A$3:$B$120,2,FALSE))</f>
        <v>100</v>
      </c>
      <c r="E63">
        <f t="shared" si="0"/>
        <v>100</v>
      </c>
    </row>
    <row r="64" spans="1:5" x14ac:dyDescent="0.2">
      <c r="A64" t="s">
        <v>51</v>
      </c>
      <c r="B64" t="s">
        <v>126</v>
      </c>
      <c r="C64">
        <v>1</v>
      </c>
      <c r="D64">
        <f>IF(C64="","",VLOOKUP(A64,unit!$A$3:$B$120,2,FALSE))</f>
        <v>100</v>
      </c>
      <c r="E64">
        <f t="shared" si="0"/>
        <v>100</v>
      </c>
    </row>
    <row r="65" spans="1:5" x14ac:dyDescent="0.2">
      <c r="A65" t="s">
        <v>52</v>
      </c>
      <c r="B65" t="s">
        <v>127</v>
      </c>
      <c r="D65" t="str">
        <f>IF(C65="","",VLOOKUP(A65,unit!$A$3:$B$120,2,FALSE))</f>
        <v/>
      </c>
      <c r="E65" t="str">
        <f t="shared" si="0"/>
        <v/>
      </c>
    </row>
    <row r="66" spans="1:5" x14ac:dyDescent="0.2">
      <c r="A66" t="s">
        <v>53</v>
      </c>
      <c r="B66" t="s">
        <v>128</v>
      </c>
      <c r="D66" t="str">
        <f>IF(C66="","",VLOOKUP(A66,unit!$A$3:$B$120,2,FALSE))</f>
        <v/>
      </c>
      <c r="E66" t="str">
        <f t="shared" si="0"/>
        <v/>
      </c>
    </row>
    <row r="67" spans="1:5" x14ac:dyDescent="0.2">
      <c r="A67" t="s">
        <v>54</v>
      </c>
      <c r="B67" t="s">
        <v>129</v>
      </c>
      <c r="D67" t="str">
        <f>IF(C67="","",VLOOKUP(A67,unit!$A$3:$B$120,2,FALSE))</f>
        <v/>
      </c>
      <c r="E67" t="str">
        <f t="shared" ref="E67:E130" si="1">IF(C67&lt;&gt;"",C67*D67,"")</f>
        <v/>
      </c>
    </row>
    <row r="68" spans="1:5" x14ac:dyDescent="0.2">
      <c r="A68" t="s">
        <v>55</v>
      </c>
      <c r="B68" t="s">
        <v>150</v>
      </c>
      <c r="D68" t="str">
        <f>IF(C68="","",VLOOKUP(A68,unit!$A$3:$B$120,2,FALSE))</f>
        <v/>
      </c>
      <c r="E68" t="str">
        <f t="shared" si="1"/>
        <v/>
      </c>
    </row>
    <row r="69" spans="1:5" x14ac:dyDescent="0.2">
      <c r="A69" t="s">
        <v>56</v>
      </c>
      <c r="B69" t="s">
        <v>154</v>
      </c>
      <c r="D69" t="str">
        <f>IF(C69="","",VLOOKUP(A69,unit!$A$3:$B$120,2,FALSE))</f>
        <v/>
      </c>
      <c r="E69" t="str">
        <f t="shared" si="1"/>
        <v/>
      </c>
    </row>
    <row r="70" spans="1:5" x14ac:dyDescent="0.2">
      <c r="A70" t="s">
        <v>57</v>
      </c>
      <c r="B70" t="s">
        <v>158</v>
      </c>
      <c r="D70" t="str">
        <f>IF(C70="","",VLOOKUP(A70,unit!$A$3:$B$120,2,FALSE))</f>
        <v/>
      </c>
      <c r="E70" t="str">
        <f t="shared" si="1"/>
        <v/>
      </c>
    </row>
    <row r="71" spans="1:5" x14ac:dyDescent="0.2">
      <c r="A71" t="s">
        <v>58</v>
      </c>
      <c r="B71" t="s">
        <v>152</v>
      </c>
      <c r="D71" t="str">
        <f>IF(C71="","",VLOOKUP(A71,unit!$A$3:$B$120,2,FALSE))</f>
        <v/>
      </c>
      <c r="E71" t="str">
        <f t="shared" si="1"/>
        <v/>
      </c>
    </row>
    <row r="72" spans="1:5" x14ac:dyDescent="0.2">
      <c r="A72" t="s">
        <v>59</v>
      </c>
      <c r="B72" t="s">
        <v>156</v>
      </c>
      <c r="D72" t="str">
        <f>IF(C72="","",VLOOKUP(A72,unit!$A$3:$B$120,2,FALSE))</f>
        <v/>
      </c>
      <c r="E72" t="str">
        <f t="shared" si="1"/>
        <v/>
      </c>
    </row>
    <row r="73" spans="1:5" x14ac:dyDescent="0.2">
      <c r="A73" t="s">
        <v>60</v>
      </c>
      <c r="B73" t="s">
        <v>160</v>
      </c>
      <c r="D73" t="str">
        <f>IF(C73="","",VLOOKUP(A73,unit!$A$3:$B$120,2,FALSE))</f>
        <v/>
      </c>
      <c r="E73" t="str">
        <f t="shared" si="1"/>
        <v/>
      </c>
    </row>
    <row r="74" spans="1:5" x14ac:dyDescent="0.2">
      <c r="A74" t="s">
        <v>61</v>
      </c>
      <c r="B74" t="s">
        <v>136</v>
      </c>
      <c r="D74" t="str">
        <f>IF(C74="","",VLOOKUP(A74,unit!$A$3:$B$120,2,FALSE))</f>
        <v/>
      </c>
      <c r="E74" t="str">
        <f t="shared" si="1"/>
        <v/>
      </c>
    </row>
    <row r="75" spans="1:5" x14ac:dyDescent="0.2">
      <c r="A75" t="s">
        <v>62</v>
      </c>
      <c r="B75" t="s">
        <v>137</v>
      </c>
      <c r="D75" t="str">
        <f>IF(C75="","",VLOOKUP(A75,unit!$A$3:$B$120,2,FALSE))</f>
        <v/>
      </c>
      <c r="E75" t="str">
        <f t="shared" si="1"/>
        <v/>
      </c>
    </row>
    <row r="76" spans="1:5" x14ac:dyDescent="0.2">
      <c r="A76" t="s">
        <v>63</v>
      </c>
      <c r="B76" t="s">
        <v>126</v>
      </c>
      <c r="D76" t="str">
        <f>IF(C76="","",VLOOKUP(A76,unit!$A$3:$B$120,2,FALSE))</f>
        <v/>
      </c>
      <c r="E76" t="str">
        <f t="shared" si="1"/>
        <v/>
      </c>
    </row>
    <row r="77" spans="1:5" x14ac:dyDescent="0.2">
      <c r="A77" t="s">
        <v>64</v>
      </c>
      <c r="B77" t="s">
        <v>136</v>
      </c>
      <c r="D77" t="str">
        <f>IF(C77="","",VLOOKUP(A77,unit!$A$3:$B$120,2,FALSE))</f>
        <v/>
      </c>
      <c r="E77" t="str">
        <f t="shared" si="1"/>
        <v/>
      </c>
    </row>
    <row r="78" spans="1:5" x14ac:dyDescent="0.2">
      <c r="A78" t="s">
        <v>65</v>
      </c>
      <c r="B78" t="s">
        <v>137</v>
      </c>
      <c r="D78" t="str">
        <f>IF(C78="","",VLOOKUP(A78,unit!$A$3:$B$120,2,FALSE))</f>
        <v/>
      </c>
      <c r="E78" t="str">
        <f t="shared" si="1"/>
        <v/>
      </c>
    </row>
    <row r="79" spans="1:5" x14ac:dyDescent="0.2">
      <c r="A79" t="s">
        <v>66</v>
      </c>
      <c r="B79" t="s">
        <v>126</v>
      </c>
      <c r="D79" t="str">
        <f>IF(C79="","",VLOOKUP(A79,unit!$A$3:$B$120,2,FALSE))</f>
        <v/>
      </c>
      <c r="E79" t="str">
        <f t="shared" si="1"/>
        <v/>
      </c>
    </row>
    <row r="80" spans="1:5" x14ac:dyDescent="0.2">
      <c r="A80" t="s">
        <v>67</v>
      </c>
      <c r="B80" t="s">
        <v>67</v>
      </c>
      <c r="D80" t="str">
        <f>IF(C80="","",VLOOKUP(A80,unit!$A$3:$B$120,2,FALSE))</f>
        <v/>
      </c>
      <c r="E80" t="str">
        <f t="shared" si="1"/>
        <v/>
      </c>
    </row>
    <row r="81" spans="1:5" x14ac:dyDescent="0.2">
      <c r="A81" t="s">
        <v>67</v>
      </c>
      <c r="B81" t="s">
        <v>138</v>
      </c>
      <c r="C81">
        <v>2.9</v>
      </c>
      <c r="D81">
        <f>IF(C81="","",VLOOKUP(A81,unit!$A$3:$B$120,2,FALSE))</f>
        <v>6</v>
      </c>
      <c r="E81">
        <f t="shared" si="1"/>
        <v>17.399999999999999</v>
      </c>
    </row>
    <row r="82" spans="1:5" x14ac:dyDescent="0.2">
      <c r="A82" t="s">
        <v>68</v>
      </c>
      <c r="B82" t="s">
        <v>68</v>
      </c>
      <c r="D82" t="str">
        <f>IF(C82="","",VLOOKUP(A82,unit!$A$3:$B$120,2,FALSE))</f>
        <v/>
      </c>
      <c r="E82" t="str">
        <f t="shared" si="1"/>
        <v/>
      </c>
    </row>
    <row r="83" spans="1:5" x14ac:dyDescent="0.2">
      <c r="A83" t="s">
        <v>68</v>
      </c>
      <c r="B83" t="s">
        <v>139</v>
      </c>
      <c r="C83">
        <v>2.9</v>
      </c>
      <c r="D83">
        <f>IF(C83="","",VLOOKUP(A83,unit!$A$3:$B$120,2,FALSE))</f>
        <v>6</v>
      </c>
      <c r="E83">
        <f t="shared" si="1"/>
        <v>17.399999999999999</v>
      </c>
    </row>
    <row r="84" spans="1:5" x14ac:dyDescent="0.2">
      <c r="A84" t="s">
        <v>69</v>
      </c>
      <c r="B84" t="s">
        <v>69</v>
      </c>
      <c r="D84" t="str">
        <f>IF(C84="","",VLOOKUP(A84,unit!$A$3:$B$120,2,FALSE))</f>
        <v/>
      </c>
      <c r="E84" t="str">
        <f t="shared" si="1"/>
        <v/>
      </c>
    </row>
    <row r="85" spans="1:5" x14ac:dyDescent="0.2">
      <c r="A85" t="s">
        <v>69</v>
      </c>
      <c r="B85" t="s">
        <v>140</v>
      </c>
      <c r="C85">
        <v>2.9</v>
      </c>
      <c r="D85">
        <f>IF(C85="","",VLOOKUP(A85,unit!$A$3:$B$120,2,FALSE))</f>
        <v>6</v>
      </c>
      <c r="E85">
        <f t="shared" si="1"/>
        <v>17.399999999999999</v>
      </c>
    </row>
    <row r="86" spans="1:5" x14ac:dyDescent="0.2">
      <c r="A86" t="s">
        <v>70</v>
      </c>
      <c r="B86" t="s">
        <v>70</v>
      </c>
      <c r="D86" t="str">
        <f>IF(C86="","",VLOOKUP(A86,unit!$A$3:$B$120,2,FALSE))</f>
        <v/>
      </c>
      <c r="E86" t="str">
        <f t="shared" si="1"/>
        <v/>
      </c>
    </row>
    <row r="87" spans="1:5" x14ac:dyDescent="0.2">
      <c r="A87" t="s">
        <v>70</v>
      </c>
      <c r="B87" t="s">
        <v>141</v>
      </c>
      <c r="C87">
        <v>0.02</v>
      </c>
      <c r="D87">
        <f>IF(C87="","",VLOOKUP(A87,unit!$A$3:$B$120,2,FALSE))</f>
        <v>44</v>
      </c>
      <c r="E87">
        <f t="shared" si="1"/>
        <v>0.88</v>
      </c>
    </row>
    <row r="88" spans="1:5" x14ac:dyDescent="0.2">
      <c r="A88" t="s">
        <v>71</v>
      </c>
      <c r="B88" t="s">
        <v>71</v>
      </c>
      <c r="D88" t="str">
        <f>IF(C88="","",VLOOKUP(A88,unit!$A$3:$B$120,2,FALSE))</f>
        <v/>
      </c>
      <c r="E88" t="str">
        <f t="shared" si="1"/>
        <v/>
      </c>
    </row>
    <row r="89" spans="1:5" x14ac:dyDescent="0.2">
      <c r="A89" t="s">
        <v>71</v>
      </c>
      <c r="B89" t="s">
        <v>142</v>
      </c>
      <c r="C89">
        <v>0.02</v>
      </c>
      <c r="D89">
        <f>IF(C89="","",VLOOKUP(A89,unit!$A$3:$B$120,2,FALSE))</f>
        <v>279</v>
      </c>
      <c r="E89">
        <f t="shared" si="1"/>
        <v>5.58</v>
      </c>
    </row>
    <row r="90" spans="1:5" x14ac:dyDescent="0.2">
      <c r="A90" t="s">
        <v>72</v>
      </c>
      <c r="B90" t="s">
        <v>72</v>
      </c>
      <c r="D90" t="str">
        <f>IF(C90="","",VLOOKUP(A90,unit!$A$3:$B$120,2,FALSE))</f>
        <v/>
      </c>
      <c r="E90" t="str">
        <f t="shared" si="1"/>
        <v/>
      </c>
    </row>
    <row r="91" spans="1:5" x14ac:dyDescent="0.2">
      <c r="A91" t="s">
        <v>72</v>
      </c>
      <c r="B91" t="s">
        <v>143</v>
      </c>
      <c r="C91">
        <v>0.02</v>
      </c>
      <c r="D91">
        <f>IF(C91="","",VLOOKUP(A91,unit!$A$3:$B$120,2,FALSE))</f>
        <v>71</v>
      </c>
      <c r="E91">
        <f t="shared" si="1"/>
        <v>1.42</v>
      </c>
    </row>
    <row r="92" spans="1:5" x14ac:dyDescent="0.2">
      <c r="A92" t="s">
        <v>73</v>
      </c>
      <c r="B92" t="s">
        <v>73</v>
      </c>
      <c r="D92" t="str">
        <f>IF(C92="","",VLOOKUP(A92,unit!$A$3:$B$120,2,FALSE))</f>
        <v/>
      </c>
      <c r="E92" t="str">
        <f t="shared" si="1"/>
        <v/>
      </c>
    </row>
    <row r="93" spans="1:5" x14ac:dyDescent="0.2">
      <c r="A93" t="s">
        <v>73</v>
      </c>
      <c r="B93" t="s">
        <v>144</v>
      </c>
      <c r="C93">
        <v>0.02</v>
      </c>
      <c r="D93">
        <f>IF(C93="","",VLOOKUP(A93,unit!$A$3:$B$120,2,FALSE))</f>
        <v>530</v>
      </c>
      <c r="E93">
        <f t="shared" si="1"/>
        <v>10.6</v>
      </c>
    </row>
    <row r="94" spans="1:5" x14ac:dyDescent="0.2">
      <c r="A94" t="s">
        <v>74</v>
      </c>
      <c r="B94" t="s">
        <v>74</v>
      </c>
      <c r="D94" t="str">
        <f>IF(C94="","",VLOOKUP(A94,unit!$A$3:$B$120,2,FALSE))</f>
        <v/>
      </c>
      <c r="E94" t="str">
        <f t="shared" si="1"/>
        <v/>
      </c>
    </row>
    <row r="95" spans="1:5" x14ac:dyDescent="0.2">
      <c r="A95" t="s">
        <v>74</v>
      </c>
      <c r="B95" t="s">
        <v>145</v>
      </c>
      <c r="C95">
        <v>0.02</v>
      </c>
      <c r="D95">
        <f>IF(C95="","",VLOOKUP(A95,unit!$A$3:$B$120,2,FALSE))</f>
        <v>537</v>
      </c>
      <c r="E95">
        <f t="shared" si="1"/>
        <v>10.74</v>
      </c>
    </row>
    <row r="96" spans="1:5" x14ac:dyDescent="0.2">
      <c r="A96" t="s">
        <v>75</v>
      </c>
      <c r="B96" t="s">
        <v>75</v>
      </c>
      <c r="D96" t="str">
        <f>IF(C96="","",VLOOKUP(A96,unit!$A$3:$B$120,2,FALSE))</f>
        <v/>
      </c>
      <c r="E96" t="str">
        <f t="shared" si="1"/>
        <v/>
      </c>
    </row>
    <row r="97" spans="1:5" x14ac:dyDescent="0.2">
      <c r="A97" t="s">
        <v>75</v>
      </c>
      <c r="B97" t="s">
        <v>146</v>
      </c>
      <c r="C97">
        <v>0.02</v>
      </c>
      <c r="D97">
        <f>IF(C97="","",VLOOKUP(A97,unit!$A$3:$B$120,2,FALSE))</f>
        <v>1714</v>
      </c>
      <c r="E97">
        <f t="shared" si="1"/>
        <v>34.28</v>
      </c>
    </row>
    <row r="98" spans="1:5" x14ac:dyDescent="0.2">
      <c r="A98" t="s">
        <v>76</v>
      </c>
      <c r="B98" t="s">
        <v>136</v>
      </c>
      <c r="C98">
        <v>7.7</v>
      </c>
      <c r="D98">
        <f>IF(C98="","",VLOOKUP(A98,unit!$A$3:$B$120,2,FALSE))</f>
        <v>213</v>
      </c>
      <c r="E98">
        <f t="shared" si="1"/>
        <v>1640.1000000000001</v>
      </c>
    </row>
    <row r="99" spans="1:5" x14ac:dyDescent="0.2">
      <c r="A99" t="s">
        <v>76</v>
      </c>
      <c r="B99" t="s">
        <v>147</v>
      </c>
      <c r="D99" t="str">
        <f>IF(C99="","",VLOOKUP(A99,unit!$A$3:$B$120,2,FALSE))</f>
        <v/>
      </c>
      <c r="E99" t="str">
        <f t="shared" si="1"/>
        <v/>
      </c>
    </row>
    <row r="100" spans="1:5" x14ac:dyDescent="0.2">
      <c r="A100" t="s">
        <v>77</v>
      </c>
      <c r="B100" t="s">
        <v>137</v>
      </c>
      <c r="C100">
        <v>7.7</v>
      </c>
      <c r="D100">
        <f>IF(C100="","",VLOOKUP(A100,unit!$A$3:$B$120,2,FALSE))</f>
        <v>213</v>
      </c>
      <c r="E100">
        <f t="shared" si="1"/>
        <v>1640.1000000000001</v>
      </c>
    </row>
    <row r="101" spans="1:5" x14ac:dyDescent="0.2">
      <c r="A101" t="s">
        <v>77</v>
      </c>
      <c r="B101" t="s">
        <v>148</v>
      </c>
      <c r="D101" t="str">
        <f>IF(C101="","",VLOOKUP(A101,unit!$A$3:$B$120,2,FALSE))</f>
        <v/>
      </c>
      <c r="E101" t="str">
        <f t="shared" si="1"/>
        <v/>
      </c>
    </row>
    <row r="102" spans="1:5" x14ac:dyDescent="0.2">
      <c r="A102" t="s">
        <v>78</v>
      </c>
      <c r="B102" t="s">
        <v>126</v>
      </c>
      <c r="C102">
        <v>7.7</v>
      </c>
      <c r="D102">
        <f>IF(C102="","",VLOOKUP(A102,unit!$A$3:$B$120,2,FALSE))</f>
        <v>213</v>
      </c>
      <c r="E102">
        <f t="shared" si="1"/>
        <v>1640.1000000000001</v>
      </c>
    </row>
    <row r="103" spans="1:5" x14ac:dyDescent="0.2">
      <c r="A103" t="s">
        <v>78</v>
      </c>
      <c r="B103" t="s">
        <v>149</v>
      </c>
      <c r="D103" t="str">
        <f>IF(C103="","",VLOOKUP(A103,unit!$A$3:$B$120,2,FALSE))</f>
        <v/>
      </c>
      <c r="E103" t="str">
        <f t="shared" si="1"/>
        <v/>
      </c>
    </row>
    <row r="104" spans="1:5" x14ac:dyDescent="0.2">
      <c r="A104" t="s">
        <v>79</v>
      </c>
      <c r="B104" t="s">
        <v>136</v>
      </c>
      <c r="C104">
        <v>50</v>
      </c>
      <c r="D104">
        <f>IF(C104="","",VLOOKUP(A104,unit!$A$3:$B$120,2,FALSE))</f>
        <v>4</v>
      </c>
      <c r="E104">
        <f t="shared" si="1"/>
        <v>200</v>
      </c>
    </row>
    <row r="105" spans="1:5" x14ac:dyDescent="0.2">
      <c r="A105" t="s">
        <v>79</v>
      </c>
      <c r="B105" t="s">
        <v>79</v>
      </c>
      <c r="D105" t="str">
        <f>IF(C105="","",VLOOKUP(A105,unit!$A$3:$B$120,2,FALSE))</f>
        <v/>
      </c>
      <c r="E105" t="str">
        <f t="shared" si="1"/>
        <v/>
      </c>
    </row>
    <row r="106" spans="1:5" x14ac:dyDescent="0.2">
      <c r="A106" t="s">
        <v>80</v>
      </c>
      <c r="B106" t="s">
        <v>137</v>
      </c>
      <c r="C106">
        <v>50</v>
      </c>
      <c r="D106">
        <f>IF(C106="","",VLOOKUP(A106,unit!$A$3:$B$120,2,FALSE))</f>
        <v>4</v>
      </c>
      <c r="E106">
        <f t="shared" si="1"/>
        <v>200</v>
      </c>
    </row>
    <row r="107" spans="1:5" x14ac:dyDescent="0.2">
      <c r="A107" t="s">
        <v>80</v>
      </c>
      <c r="B107" t="s">
        <v>80</v>
      </c>
      <c r="D107" t="str">
        <f>IF(C107="","",VLOOKUP(A107,unit!$A$3:$B$120,2,FALSE))</f>
        <v/>
      </c>
      <c r="E107" t="str">
        <f t="shared" si="1"/>
        <v/>
      </c>
    </row>
    <row r="108" spans="1:5" x14ac:dyDescent="0.2">
      <c r="A108" t="s">
        <v>81</v>
      </c>
      <c r="B108" t="s">
        <v>126</v>
      </c>
      <c r="C108">
        <v>50</v>
      </c>
      <c r="D108">
        <f>IF(C108="","",VLOOKUP(A108,unit!$A$3:$B$120,2,FALSE))</f>
        <v>4</v>
      </c>
      <c r="E108">
        <f t="shared" si="1"/>
        <v>200</v>
      </c>
    </row>
    <row r="109" spans="1:5" x14ac:dyDescent="0.2">
      <c r="A109" t="s">
        <v>81</v>
      </c>
      <c r="B109" t="s">
        <v>81</v>
      </c>
      <c r="D109" t="str">
        <f>IF(C109="","",VLOOKUP(A109,unit!$A$3:$B$120,2,FALSE))</f>
        <v/>
      </c>
      <c r="E109" t="str">
        <f t="shared" si="1"/>
        <v/>
      </c>
    </row>
    <row r="110" spans="1:5" x14ac:dyDescent="0.2">
      <c r="A110" t="s">
        <v>82</v>
      </c>
      <c r="B110" t="s">
        <v>136</v>
      </c>
      <c r="C110">
        <v>0.45</v>
      </c>
      <c r="D110">
        <f>IF(C110="","",VLOOKUP(A110,unit!$A$3:$B$120,2,FALSE))</f>
        <v>241</v>
      </c>
      <c r="E110">
        <f t="shared" si="1"/>
        <v>108.45</v>
      </c>
    </row>
    <row r="111" spans="1:5" x14ac:dyDescent="0.2">
      <c r="A111" t="s">
        <v>82</v>
      </c>
      <c r="B111" t="s">
        <v>82</v>
      </c>
      <c r="D111" t="str">
        <f>IF(C111="","",VLOOKUP(A111,unit!$A$3:$B$120,2,FALSE))</f>
        <v/>
      </c>
      <c r="E111" t="str">
        <f t="shared" si="1"/>
        <v/>
      </c>
    </row>
    <row r="112" spans="1:5" x14ac:dyDescent="0.2">
      <c r="A112" t="s">
        <v>83</v>
      </c>
      <c r="B112" t="s">
        <v>137</v>
      </c>
      <c r="C112">
        <v>0.45</v>
      </c>
      <c r="D112">
        <f>IF(C112="","",VLOOKUP(A112,unit!$A$3:$B$120,2,FALSE))</f>
        <v>241</v>
      </c>
      <c r="E112">
        <f t="shared" si="1"/>
        <v>108.45</v>
      </c>
    </row>
    <row r="113" spans="1:5" x14ac:dyDescent="0.2">
      <c r="A113" t="s">
        <v>83</v>
      </c>
      <c r="B113" t="s">
        <v>83</v>
      </c>
      <c r="D113" t="str">
        <f>IF(C113="","",VLOOKUP(A113,unit!$A$3:$B$120,2,FALSE))</f>
        <v/>
      </c>
      <c r="E113" t="str">
        <f t="shared" si="1"/>
        <v/>
      </c>
    </row>
    <row r="114" spans="1:5" x14ac:dyDescent="0.2">
      <c r="A114" t="s">
        <v>84</v>
      </c>
      <c r="B114" t="s">
        <v>126</v>
      </c>
      <c r="C114">
        <v>0.45</v>
      </c>
      <c r="D114">
        <f>IF(C114="","",VLOOKUP(A114,unit!$A$3:$B$120,2,FALSE))</f>
        <v>241</v>
      </c>
      <c r="E114">
        <f t="shared" si="1"/>
        <v>108.45</v>
      </c>
    </row>
    <row r="115" spans="1:5" x14ac:dyDescent="0.2">
      <c r="A115" t="s">
        <v>84</v>
      </c>
      <c r="B115" t="s">
        <v>84</v>
      </c>
      <c r="D115" t="str">
        <f>IF(C115="","",VLOOKUP(A115,unit!$A$3:$B$120,2,FALSE))</f>
        <v/>
      </c>
      <c r="E115" t="str">
        <f t="shared" si="1"/>
        <v/>
      </c>
    </row>
    <row r="116" spans="1:5" x14ac:dyDescent="0.2">
      <c r="A116" t="s">
        <v>85</v>
      </c>
      <c r="B116" t="s">
        <v>174</v>
      </c>
      <c r="D116" t="str">
        <f>IF(C116="","",VLOOKUP(A116,unit!$A$3:$B$120,2,FALSE))</f>
        <v/>
      </c>
      <c r="E116" t="str">
        <f t="shared" si="1"/>
        <v/>
      </c>
    </row>
    <row r="117" spans="1:5" x14ac:dyDescent="0.2">
      <c r="A117" t="s">
        <v>86</v>
      </c>
      <c r="B117" t="s">
        <v>176</v>
      </c>
      <c r="D117" t="str">
        <f>IF(C117="","",VLOOKUP(A117,unit!$A$3:$B$120,2,FALSE))</f>
        <v/>
      </c>
      <c r="E117" t="str">
        <f t="shared" si="1"/>
        <v/>
      </c>
    </row>
    <row r="118" spans="1:5" x14ac:dyDescent="0.2">
      <c r="A118" t="s">
        <v>87</v>
      </c>
      <c r="B118" t="s">
        <v>178</v>
      </c>
      <c r="D118" t="str">
        <f>IF(C118="","",VLOOKUP(A118,unit!$A$3:$B$120,2,FALSE))</f>
        <v/>
      </c>
      <c r="E118" t="str">
        <f t="shared" si="1"/>
        <v/>
      </c>
    </row>
    <row r="119" spans="1:5" x14ac:dyDescent="0.2">
      <c r="A119" t="s">
        <v>88</v>
      </c>
      <c r="B119" t="s">
        <v>175</v>
      </c>
      <c r="D119" t="str">
        <f>IF(C119="","",VLOOKUP(A119,unit!$A$3:$B$120,2,FALSE))</f>
        <v/>
      </c>
      <c r="E119" t="str">
        <f t="shared" si="1"/>
        <v/>
      </c>
    </row>
    <row r="120" spans="1:5" x14ac:dyDescent="0.2">
      <c r="A120" t="s">
        <v>89</v>
      </c>
      <c r="B120" t="s">
        <v>177</v>
      </c>
      <c r="D120" t="str">
        <f>IF(C120="","",VLOOKUP(A120,unit!$A$3:$B$120,2,FALSE))</f>
        <v/>
      </c>
      <c r="E120" t="str">
        <f t="shared" si="1"/>
        <v/>
      </c>
    </row>
    <row r="121" spans="1:5" x14ac:dyDescent="0.2">
      <c r="A121" t="s">
        <v>90</v>
      </c>
      <c r="B121" t="s">
        <v>179</v>
      </c>
      <c r="D121" t="str">
        <f>IF(C121="","",VLOOKUP(A121,unit!$A$3:$B$120,2,FALSE))</f>
        <v/>
      </c>
      <c r="E121" t="str">
        <f t="shared" si="1"/>
        <v/>
      </c>
    </row>
    <row r="122" spans="1:5" x14ac:dyDescent="0.2">
      <c r="A122" t="s">
        <v>94</v>
      </c>
      <c r="B122" t="s">
        <v>94</v>
      </c>
      <c r="D122" t="str">
        <f>IF(C122="","",VLOOKUP(A122,unit!$A$3:$B$120,2,FALSE))</f>
        <v/>
      </c>
      <c r="E122" t="str">
        <f t="shared" si="1"/>
        <v/>
      </c>
    </row>
    <row r="123" spans="1:5" x14ac:dyDescent="0.2">
      <c r="A123" t="s">
        <v>94</v>
      </c>
      <c r="B123" t="s">
        <v>138</v>
      </c>
      <c r="C123">
        <v>200</v>
      </c>
      <c r="D123">
        <f>IF(C123="","",VLOOKUP(A123,unit!$A$3:$B$120,2,FALSE))</f>
        <v>1</v>
      </c>
      <c r="E123">
        <f t="shared" si="1"/>
        <v>200</v>
      </c>
    </row>
    <row r="124" spans="1:5" x14ac:dyDescent="0.2">
      <c r="A124" t="s">
        <v>95</v>
      </c>
      <c r="B124" t="s">
        <v>95</v>
      </c>
      <c r="D124" t="str">
        <f>IF(C124="","",VLOOKUP(A124,unit!$A$3:$B$120,2,FALSE))</f>
        <v/>
      </c>
      <c r="E124" t="str">
        <f t="shared" si="1"/>
        <v/>
      </c>
    </row>
    <row r="125" spans="1:5" x14ac:dyDescent="0.2">
      <c r="A125" t="s">
        <v>95</v>
      </c>
      <c r="B125" t="s">
        <v>139</v>
      </c>
      <c r="C125">
        <v>200</v>
      </c>
      <c r="D125">
        <f>IF(C125="","",VLOOKUP(A125,unit!$A$3:$B$120,2,FALSE))</f>
        <v>1</v>
      </c>
      <c r="E125">
        <f t="shared" si="1"/>
        <v>200</v>
      </c>
    </row>
    <row r="126" spans="1:5" x14ac:dyDescent="0.2">
      <c r="A126" t="s">
        <v>96</v>
      </c>
      <c r="B126" t="s">
        <v>96</v>
      </c>
      <c r="D126" t="str">
        <f>IF(C126="","",VLOOKUP(A126,unit!$A$3:$B$120,2,FALSE))</f>
        <v/>
      </c>
      <c r="E126" t="str">
        <f t="shared" si="1"/>
        <v/>
      </c>
    </row>
    <row r="127" spans="1:5" x14ac:dyDescent="0.2">
      <c r="A127" t="s">
        <v>96</v>
      </c>
      <c r="B127" t="s">
        <v>140</v>
      </c>
      <c r="C127">
        <v>200</v>
      </c>
      <c r="D127">
        <f>IF(C127="","",VLOOKUP(A127,unit!$A$3:$B$120,2,FALSE))</f>
        <v>1</v>
      </c>
      <c r="E127">
        <f t="shared" si="1"/>
        <v>200</v>
      </c>
    </row>
    <row r="128" spans="1:5" x14ac:dyDescent="0.2">
      <c r="A128" t="s">
        <v>103</v>
      </c>
      <c r="B128" t="s">
        <v>150</v>
      </c>
      <c r="C128">
        <v>0.5</v>
      </c>
      <c r="D128">
        <f>IF(C128="","",VLOOKUP(A128,unit!$A$3:$B$120,2,FALSE))</f>
        <v>44</v>
      </c>
      <c r="E128">
        <f t="shared" si="1"/>
        <v>22</v>
      </c>
    </row>
    <row r="129" spans="1:5" x14ac:dyDescent="0.2">
      <c r="A129" t="s">
        <v>103</v>
      </c>
      <c r="B129" t="s">
        <v>151</v>
      </c>
      <c r="D129" t="str">
        <f>IF(C129="","",VLOOKUP(A129,unit!$A$3:$B$120,2,FALSE))</f>
        <v/>
      </c>
      <c r="E129" t="str">
        <f t="shared" si="1"/>
        <v/>
      </c>
    </row>
    <row r="130" spans="1:5" x14ac:dyDescent="0.2">
      <c r="A130" t="s">
        <v>104</v>
      </c>
      <c r="B130" t="s">
        <v>152</v>
      </c>
      <c r="C130">
        <v>0.5</v>
      </c>
      <c r="D130">
        <f>IF(C130="","",VLOOKUP(A130,unit!$A$3:$B$120,2,FALSE))</f>
        <v>279</v>
      </c>
      <c r="E130">
        <f t="shared" si="1"/>
        <v>139.5</v>
      </c>
    </row>
    <row r="131" spans="1:5" x14ac:dyDescent="0.2">
      <c r="A131" t="s">
        <v>104</v>
      </c>
      <c r="B131" t="s">
        <v>153</v>
      </c>
      <c r="D131" t="str">
        <f>IF(C131="","",VLOOKUP(A131,unit!$A$3:$B$120,2,FALSE))</f>
        <v/>
      </c>
      <c r="E131" t="str">
        <f t="shared" ref="E131:E148" si="2">IF(C131&lt;&gt;"",C131*D131,"")</f>
        <v/>
      </c>
    </row>
    <row r="132" spans="1:5" x14ac:dyDescent="0.2">
      <c r="A132" t="s">
        <v>105</v>
      </c>
      <c r="B132" t="s">
        <v>154</v>
      </c>
      <c r="C132">
        <v>0.5</v>
      </c>
      <c r="D132">
        <f>IF(C132="","",VLOOKUP(A132,unit!$A$3:$B$120,2,FALSE))</f>
        <v>71</v>
      </c>
      <c r="E132">
        <f t="shared" si="2"/>
        <v>35.5</v>
      </c>
    </row>
    <row r="133" spans="1:5" x14ac:dyDescent="0.2">
      <c r="A133" t="s">
        <v>105</v>
      </c>
      <c r="B133" t="s">
        <v>155</v>
      </c>
      <c r="D133" t="str">
        <f>IF(C133="","",VLOOKUP(A133,unit!$A$3:$B$120,2,FALSE))</f>
        <v/>
      </c>
      <c r="E133" t="str">
        <f t="shared" si="2"/>
        <v/>
      </c>
    </row>
    <row r="134" spans="1:5" x14ac:dyDescent="0.2">
      <c r="A134" t="s">
        <v>106</v>
      </c>
      <c r="B134" t="s">
        <v>156</v>
      </c>
      <c r="C134">
        <v>0.5</v>
      </c>
      <c r="D134">
        <f>IF(C134="","",VLOOKUP(A134,unit!$A$3:$B$120,2,FALSE))</f>
        <v>530</v>
      </c>
      <c r="E134">
        <f t="shared" si="2"/>
        <v>265</v>
      </c>
    </row>
    <row r="135" spans="1:5" x14ac:dyDescent="0.2">
      <c r="A135" t="s">
        <v>106</v>
      </c>
      <c r="B135" t="s">
        <v>157</v>
      </c>
      <c r="D135" t="str">
        <f>IF(C135="","",VLOOKUP(A135,unit!$A$3:$B$120,2,FALSE))</f>
        <v/>
      </c>
      <c r="E135" t="str">
        <f t="shared" si="2"/>
        <v/>
      </c>
    </row>
    <row r="136" spans="1:5" x14ac:dyDescent="0.2">
      <c r="A136" t="s">
        <v>107</v>
      </c>
      <c r="B136" t="s">
        <v>158</v>
      </c>
      <c r="C136">
        <v>0.5</v>
      </c>
      <c r="D136">
        <f>IF(C136="","",VLOOKUP(A136,unit!$A$3:$B$120,2,FALSE))</f>
        <v>537</v>
      </c>
      <c r="E136">
        <f t="shared" si="2"/>
        <v>268.5</v>
      </c>
    </row>
    <row r="137" spans="1:5" x14ac:dyDescent="0.2">
      <c r="A137" t="s">
        <v>107</v>
      </c>
      <c r="B137" t="s">
        <v>159</v>
      </c>
      <c r="D137" t="str">
        <f>IF(C137="","",VLOOKUP(A137,unit!$A$3:$B$120,2,FALSE))</f>
        <v/>
      </c>
      <c r="E137" t="str">
        <f t="shared" si="2"/>
        <v/>
      </c>
    </row>
    <row r="138" spans="1:5" x14ac:dyDescent="0.2">
      <c r="A138" t="s">
        <v>108</v>
      </c>
      <c r="B138" t="s">
        <v>160</v>
      </c>
      <c r="C138">
        <v>0.5</v>
      </c>
      <c r="D138">
        <f>IF(C138="","",VLOOKUP(A138,unit!$A$3:$B$120,2,FALSE))</f>
        <v>1714</v>
      </c>
      <c r="E138">
        <f t="shared" si="2"/>
        <v>857</v>
      </c>
    </row>
    <row r="139" spans="1:5" x14ac:dyDescent="0.2">
      <c r="A139" t="s">
        <v>108</v>
      </c>
      <c r="B139" t="s">
        <v>161</v>
      </c>
      <c r="D139" t="str">
        <f>IF(C139="","",VLOOKUP(A139,unit!$A$3:$B$120,2,FALSE))</f>
        <v/>
      </c>
      <c r="E139" t="str">
        <f t="shared" si="2"/>
        <v/>
      </c>
    </row>
    <row r="140" spans="1:5" x14ac:dyDescent="0.2">
      <c r="A140" t="s">
        <v>113</v>
      </c>
      <c r="B140" t="s">
        <v>183</v>
      </c>
      <c r="D140" t="str">
        <f>IF(C140="","",VLOOKUP(A140,unit!$A$3:$B$120,2,FALSE))</f>
        <v/>
      </c>
      <c r="E140" t="str">
        <f t="shared" si="2"/>
        <v/>
      </c>
    </row>
    <row r="141" spans="1:5" x14ac:dyDescent="0.2">
      <c r="A141" t="s">
        <v>114</v>
      </c>
      <c r="B141" t="s">
        <v>185</v>
      </c>
      <c r="D141" t="str">
        <f>IF(C141="","",VLOOKUP(A141,unit!$A$3:$B$120,2,FALSE))</f>
        <v/>
      </c>
      <c r="E141" t="str">
        <f t="shared" si="2"/>
        <v/>
      </c>
    </row>
    <row r="142" spans="1:5" x14ac:dyDescent="0.2">
      <c r="A142" t="s">
        <v>115</v>
      </c>
      <c r="B142" t="s">
        <v>187</v>
      </c>
      <c r="D142" t="str">
        <f>IF(C142="","",VLOOKUP(A142,unit!$A$3:$B$120,2,FALSE))</f>
        <v/>
      </c>
      <c r="E142" t="str">
        <f t="shared" si="2"/>
        <v/>
      </c>
    </row>
    <row r="143" spans="1:5" x14ac:dyDescent="0.2">
      <c r="A143" t="s">
        <v>116</v>
      </c>
      <c r="B143" t="s">
        <v>184</v>
      </c>
      <c r="D143" t="str">
        <f>IF(C143="","",VLOOKUP(A143,unit!$A$3:$B$120,2,FALSE))</f>
        <v/>
      </c>
      <c r="E143" t="str">
        <f t="shared" si="2"/>
        <v/>
      </c>
    </row>
    <row r="144" spans="1:5" x14ac:dyDescent="0.2">
      <c r="A144" t="s">
        <v>117</v>
      </c>
      <c r="B144" t="s">
        <v>186</v>
      </c>
      <c r="D144" t="str">
        <f>IF(C144="","",VLOOKUP(A144,unit!$A$3:$B$120,2,FALSE))</f>
        <v/>
      </c>
      <c r="E144" t="str">
        <f t="shared" si="2"/>
        <v/>
      </c>
    </row>
    <row r="145" spans="1:5" x14ac:dyDescent="0.2">
      <c r="A145" t="s">
        <v>118</v>
      </c>
      <c r="B145" t="s">
        <v>188</v>
      </c>
      <c r="D145" t="str">
        <f>IF(C145="","",VLOOKUP(A145,unit!$A$3:$B$120,2,FALSE))</f>
        <v/>
      </c>
      <c r="E145" t="str">
        <f t="shared" si="2"/>
        <v/>
      </c>
    </row>
    <row r="146" spans="1:5" x14ac:dyDescent="0.2">
      <c r="A146" t="s">
        <v>119</v>
      </c>
      <c r="B146" t="s">
        <v>180</v>
      </c>
      <c r="D146" t="str">
        <f>IF(C146="","",VLOOKUP(A146,unit!$A$3:$B$120,2,FALSE))</f>
        <v/>
      </c>
      <c r="E146" t="str">
        <f t="shared" si="2"/>
        <v/>
      </c>
    </row>
    <row r="147" spans="1:5" x14ac:dyDescent="0.2">
      <c r="A147" t="s">
        <v>120</v>
      </c>
      <c r="B147" t="s">
        <v>181</v>
      </c>
      <c r="D147" t="str">
        <f>IF(C147="","",VLOOKUP(A147,unit!$A$3:$B$120,2,FALSE))</f>
        <v/>
      </c>
      <c r="E147" t="str">
        <f t="shared" si="2"/>
        <v/>
      </c>
    </row>
    <row r="148" spans="1:5" x14ac:dyDescent="0.2">
      <c r="A148" t="s">
        <v>121</v>
      </c>
      <c r="B148" t="s">
        <v>182</v>
      </c>
      <c r="D148" t="str">
        <f>IF(C148="","",VLOOKUP(A148,unit!$A$3:$B$120,2,FALSE))</f>
        <v/>
      </c>
      <c r="E148" t="str">
        <f t="shared" si="2"/>
        <v/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2"/>
  <sheetViews>
    <sheetView tabSelected="1" zoomScale="130" zoomScaleNormal="130" workbookViewId="0"/>
  </sheetViews>
  <sheetFormatPr defaultColWidth="11.5703125" defaultRowHeight="12.75" x14ac:dyDescent="0.2"/>
  <cols>
    <col min="1" max="1" width="55.5703125" bestFit="1" customWidth="1"/>
    <col min="2" max="2" width="29.28515625" customWidth="1"/>
    <col min="4" max="4" width="14.140625" bestFit="1" customWidth="1"/>
    <col min="5" max="5" width="18.28515625" bestFit="1" customWidth="1"/>
  </cols>
  <sheetData>
    <row r="1" spans="1:5" x14ac:dyDescent="0.2">
      <c r="A1" s="2"/>
      <c r="B1" t="s">
        <v>0</v>
      </c>
      <c r="C1" t="s">
        <v>122</v>
      </c>
      <c r="D1" t="s">
        <v>1</v>
      </c>
      <c r="E1" t="s">
        <v>123</v>
      </c>
    </row>
    <row r="2" spans="1:5" x14ac:dyDescent="0.2">
      <c r="A2" t="s">
        <v>5</v>
      </c>
      <c r="B2" t="s">
        <v>124</v>
      </c>
    </row>
    <row r="3" spans="1:5" x14ac:dyDescent="0.2">
      <c r="A3" t="s">
        <v>6</v>
      </c>
      <c r="B3" t="s">
        <v>126</v>
      </c>
      <c r="C3">
        <v>16</v>
      </c>
    </row>
    <row r="4" spans="1:5" x14ac:dyDescent="0.2">
      <c r="A4" t="s">
        <v>7</v>
      </c>
      <c r="B4" t="s">
        <v>141</v>
      </c>
      <c r="C4">
        <v>0.08</v>
      </c>
      <c r="D4">
        <f>IF(C4="","",VLOOKUP(A4,unit!$A$3:$B$120,2,FALSE))</f>
        <v>44</v>
      </c>
      <c r="E4">
        <f t="shared" ref="E4:E35" si="0">IF(C4&lt;&gt;"",C4*D4,"")</f>
        <v>3.52</v>
      </c>
    </row>
    <row r="5" spans="1:5" x14ac:dyDescent="0.2">
      <c r="A5" t="s">
        <v>8</v>
      </c>
      <c r="B5" t="s">
        <v>143</v>
      </c>
      <c r="C5">
        <v>0.08</v>
      </c>
      <c r="D5">
        <f>IF(C5="","",VLOOKUP(A5,unit!$A$3:$B$120,2,FALSE))</f>
        <v>71</v>
      </c>
      <c r="E5">
        <f t="shared" si="0"/>
        <v>5.68</v>
      </c>
    </row>
    <row r="6" spans="1:5" x14ac:dyDescent="0.2">
      <c r="A6" t="s">
        <v>9</v>
      </c>
      <c r="B6" t="s">
        <v>145</v>
      </c>
      <c r="C6">
        <v>0.08</v>
      </c>
      <c r="D6">
        <f>IF(C6="","",VLOOKUP(A6,unit!$A$3:$B$120,2,FALSE))</f>
        <v>537</v>
      </c>
      <c r="E6">
        <f t="shared" si="0"/>
        <v>42.96</v>
      </c>
    </row>
    <row r="7" spans="1:5" x14ac:dyDescent="0.2">
      <c r="A7" t="s">
        <v>10</v>
      </c>
      <c r="B7" t="s">
        <v>142</v>
      </c>
      <c r="C7">
        <v>1.7000000000000001E-2</v>
      </c>
      <c r="D7">
        <f>IF(C7="","",VLOOKUP(A7,unit!$A$3:$B$120,2,FALSE))</f>
        <v>279</v>
      </c>
      <c r="E7">
        <f t="shared" si="0"/>
        <v>4.7430000000000003</v>
      </c>
    </row>
    <row r="8" spans="1:5" x14ac:dyDescent="0.2">
      <c r="A8" t="s">
        <v>11</v>
      </c>
      <c r="B8" t="s">
        <v>144</v>
      </c>
      <c r="C8">
        <v>1.7000000000000001E-2</v>
      </c>
      <c r="D8">
        <f>IF(C8="","",VLOOKUP(A8,unit!$A$3:$B$120,2,FALSE))</f>
        <v>530</v>
      </c>
      <c r="E8">
        <f t="shared" si="0"/>
        <v>9.01</v>
      </c>
    </row>
    <row r="9" spans="1:5" x14ac:dyDescent="0.2">
      <c r="A9" t="s">
        <v>12</v>
      </c>
      <c r="B9" t="s">
        <v>146</v>
      </c>
      <c r="C9">
        <v>1.7000000000000001E-2</v>
      </c>
      <c r="D9">
        <f>IF(C9="","",VLOOKUP(A9,unit!$A$3:$B$120,2,FALSE))</f>
        <v>1714</v>
      </c>
      <c r="E9">
        <f t="shared" si="0"/>
        <v>29.138000000000002</v>
      </c>
    </row>
    <row r="10" spans="1:5" x14ac:dyDescent="0.2">
      <c r="A10" t="s">
        <v>13</v>
      </c>
      <c r="B10" t="s">
        <v>125</v>
      </c>
      <c r="D10" t="str">
        <f>IF(C10="","",VLOOKUP(A10,unit!$A$3:$B$120,2,FALSE))</f>
        <v/>
      </c>
      <c r="E10" t="str">
        <f t="shared" si="0"/>
        <v/>
      </c>
    </row>
    <row r="11" spans="1:5" x14ac:dyDescent="0.2">
      <c r="A11" t="s">
        <v>13</v>
      </c>
      <c r="B11" t="s">
        <v>141</v>
      </c>
      <c r="C11">
        <v>0.08</v>
      </c>
      <c r="D11">
        <f>IF(C11="","",VLOOKUP(A11,unit!$A$3:$B$120,2,FALSE))</f>
        <v>44</v>
      </c>
      <c r="E11">
        <f t="shared" si="0"/>
        <v>3.52</v>
      </c>
    </row>
    <row r="12" spans="1:5" x14ac:dyDescent="0.2">
      <c r="A12" t="s">
        <v>14</v>
      </c>
      <c r="B12" t="s">
        <v>125</v>
      </c>
      <c r="D12" t="str">
        <f>IF(C12="","",VLOOKUP(A12,unit!$A$3:$B$120,2,FALSE))</f>
        <v/>
      </c>
      <c r="E12" t="str">
        <f t="shared" si="0"/>
        <v/>
      </c>
    </row>
    <row r="13" spans="1:5" x14ac:dyDescent="0.2">
      <c r="A13" t="s">
        <v>14</v>
      </c>
      <c r="B13" t="s">
        <v>143</v>
      </c>
      <c r="C13">
        <v>0.08</v>
      </c>
      <c r="D13">
        <f>IF(C13="","",VLOOKUP(A13,unit!$A$3:$B$120,2,FALSE))</f>
        <v>71</v>
      </c>
      <c r="E13">
        <f t="shared" si="0"/>
        <v>5.68</v>
      </c>
    </row>
    <row r="14" spans="1:5" x14ac:dyDescent="0.2">
      <c r="A14" t="s">
        <v>15</v>
      </c>
      <c r="B14" t="s">
        <v>125</v>
      </c>
      <c r="D14" t="str">
        <f>IF(C14="","",VLOOKUP(A14,unit!$A$3:$B$120,2,FALSE))</f>
        <v/>
      </c>
      <c r="E14" t="str">
        <f t="shared" si="0"/>
        <v/>
      </c>
    </row>
    <row r="15" spans="1:5" x14ac:dyDescent="0.2">
      <c r="A15" t="s">
        <v>15</v>
      </c>
      <c r="B15" t="s">
        <v>145</v>
      </c>
      <c r="C15">
        <v>0.08</v>
      </c>
      <c r="D15">
        <f>IF(C15="","",VLOOKUP(A15,unit!$A$3:$B$120,2,FALSE))</f>
        <v>537</v>
      </c>
      <c r="E15">
        <f t="shared" si="0"/>
        <v>42.96</v>
      </c>
    </row>
    <row r="16" spans="1:5" x14ac:dyDescent="0.2">
      <c r="A16" t="s">
        <v>16</v>
      </c>
      <c r="B16" t="s">
        <v>125</v>
      </c>
      <c r="D16" t="str">
        <f>IF(C16="","",VLOOKUP(A16,unit!$A$3:$B$120,2,FALSE))</f>
        <v/>
      </c>
      <c r="E16" t="str">
        <f t="shared" si="0"/>
        <v/>
      </c>
    </row>
    <row r="17" spans="1:5" x14ac:dyDescent="0.2">
      <c r="A17" t="s">
        <v>16</v>
      </c>
      <c r="B17" t="s">
        <v>142</v>
      </c>
      <c r="C17">
        <v>1.7000000000000001E-2</v>
      </c>
      <c r="D17">
        <f>IF(C17="","",VLOOKUP(A17,unit!$A$3:$B$120,2,FALSE))</f>
        <v>279</v>
      </c>
      <c r="E17">
        <f t="shared" si="0"/>
        <v>4.7430000000000003</v>
      </c>
    </row>
    <row r="18" spans="1:5" x14ac:dyDescent="0.2">
      <c r="A18" t="s">
        <v>17</v>
      </c>
      <c r="B18" t="s">
        <v>125</v>
      </c>
      <c r="D18" t="str">
        <f>IF(C18="","",VLOOKUP(A18,unit!$A$3:$B$120,2,FALSE))</f>
        <v/>
      </c>
      <c r="E18" t="str">
        <f t="shared" si="0"/>
        <v/>
      </c>
    </row>
    <row r="19" spans="1:5" x14ac:dyDescent="0.2">
      <c r="A19" t="s">
        <v>17</v>
      </c>
      <c r="B19" t="s">
        <v>144</v>
      </c>
      <c r="C19">
        <v>1.7000000000000001E-2</v>
      </c>
      <c r="D19">
        <f>IF(C19="","",VLOOKUP(A19,unit!$A$3:$B$120,2,FALSE))</f>
        <v>530</v>
      </c>
      <c r="E19">
        <f t="shared" si="0"/>
        <v>9.01</v>
      </c>
    </row>
    <row r="20" spans="1:5" x14ac:dyDescent="0.2">
      <c r="A20" t="s">
        <v>18</v>
      </c>
      <c r="B20" t="s">
        <v>125</v>
      </c>
      <c r="D20" t="str">
        <f>IF(C20="","",VLOOKUP(A20,unit!$A$3:$B$120,2,FALSE))</f>
        <v/>
      </c>
      <c r="E20" t="str">
        <f t="shared" si="0"/>
        <v/>
      </c>
    </row>
    <row r="21" spans="1:5" x14ac:dyDescent="0.2">
      <c r="A21" t="s">
        <v>18</v>
      </c>
      <c r="B21" t="s">
        <v>146</v>
      </c>
      <c r="C21">
        <v>1.7000000000000001E-2</v>
      </c>
      <c r="D21">
        <f>IF(C21="","",VLOOKUP(A21,unit!$A$3:$B$120,2,FALSE))</f>
        <v>1714</v>
      </c>
      <c r="E21">
        <f t="shared" si="0"/>
        <v>29.138000000000002</v>
      </c>
    </row>
    <row r="22" spans="1:5" x14ac:dyDescent="0.2">
      <c r="A22" t="s">
        <v>19</v>
      </c>
      <c r="B22" t="s">
        <v>125</v>
      </c>
      <c r="D22" t="str">
        <f>IF(C22="","",VLOOKUP(A22,unit!$A$3:$B$120,2,FALSE))</f>
        <v/>
      </c>
      <c r="E22" t="str">
        <f t="shared" si="0"/>
        <v/>
      </c>
    </row>
    <row r="23" spans="1:5" x14ac:dyDescent="0.2">
      <c r="A23" t="s">
        <v>19</v>
      </c>
      <c r="B23" t="s">
        <v>136</v>
      </c>
      <c r="C23">
        <v>40</v>
      </c>
      <c r="D23">
        <f>IF(C23="","",VLOOKUP(A23,unit!$A$3:$B$120,2,FALSE))</f>
        <v>10</v>
      </c>
      <c r="E23">
        <f t="shared" si="0"/>
        <v>400</v>
      </c>
    </row>
    <row r="24" spans="1:5" x14ac:dyDescent="0.2">
      <c r="A24" t="s">
        <v>20</v>
      </c>
      <c r="B24" t="s">
        <v>125</v>
      </c>
      <c r="D24" t="str">
        <f>IF(C24="","",VLOOKUP(A24,unit!$A$3:$B$120,2,FALSE))</f>
        <v/>
      </c>
      <c r="E24" t="str">
        <f t="shared" si="0"/>
        <v/>
      </c>
    </row>
    <row r="25" spans="1:5" x14ac:dyDescent="0.2">
      <c r="A25" t="s">
        <v>20</v>
      </c>
      <c r="B25" t="s">
        <v>137</v>
      </c>
      <c r="C25">
        <v>40</v>
      </c>
      <c r="D25">
        <f>IF(C25="","",VLOOKUP(A25,unit!$A$3:$B$120,2,FALSE))</f>
        <v>10</v>
      </c>
      <c r="E25">
        <f t="shared" si="0"/>
        <v>400</v>
      </c>
    </row>
    <row r="26" spans="1:5" x14ac:dyDescent="0.2">
      <c r="A26" t="s">
        <v>21</v>
      </c>
      <c r="B26" t="s">
        <v>125</v>
      </c>
      <c r="D26" t="str">
        <f>IF(C26="","",VLOOKUP(A26,unit!$A$3:$B$120,2,FALSE))</f>
        <v/>
      </c>
      <c r="E26" t="str">
        <f t="shared" si="0"/>
        <v/>
      </c>
    </row>
    <row r="27" spans="1:5" x14ac:dyDescent="0.2">
      <c r="A27" t="s">
        <v>21</v>
      </c>
      <c r="B27" t="s">
        <v>126</v>
      </c>
      <c r="C27">
        <v>40</v>
      </c>
      <c r="D27">
        <f>IF(C27="","",VLOOKUP(A27,unit!$A$3:$B$120,2,FALSE))</f>
        <v>10</v>
      </c>
      <c r="E27">
        <f t="shared" si="0"/>
        <v>400</v>
      </c>
    </row>
    <row r="28" spans="1:5" x14ac:dyDescent="0.2">
      <c r="A28" t="s">
        <v>22</v>
      </c>
      <c r="B28" t="s">
        <v>22</v>
      </c>
      <c r="D28" t="str">
        <f>IF(C28="","",VLOOKUP(A28,unit!$A$3:$B$120,2,FALSE))</f>
        <v/>
      </c>
      <c r="E28" t="str">
        <f t="shared" si="0"/>
        <v/>
      </c>
    </row>
    <row r="29" spans="1:5" x14ac:dyDescent="0.2">
      <c r="A29" t="s">
        <v>22</v>
      </c>
      <c r="B29" t="s">
        <v>127</v>
      </c>
      <c r="C29">
        <v>150</v>
      </c>
      <c r="D29">
        <f>IF(C29="","",VLOOKUP(A29,unit!$A$3:$B$120,2,FALSE))</f>
        <v>1</v>
      </c>
      <c r="E29">
        <f t="shared" si="0"/>
        <v>150</v>
      </c>
    </row>
    <row r="30" spans="1:5" x14ac:dyDescent="0.2">
      <c r="A30" t="s">
        <v>23</v>
      </c>
      <c r="B30" t="s">
        <v>23</v>
      </c>
      <c r="D30" t="str">
        <f>IF(C30="","",VLOOKUP(A30,unit!$A$3:$B$120,2,FALSE))</f>
        <v/>
      </c>
      <c r="E30" t="str">
        <f t="shared" si="0"/>
        <v/>
      </c>
    </row>
    <row r="31" spans="1:5" x14ac:dyDescent="0.2">
      <c r="A31" t="s">
        <v>23</v>
      </c>
      <c r="B31" t="s">
        <v>128</v>
      </c>
      <c r="C31">
        <v>150</v>
      </c>
      <c r="D31">
        <f>IF(C31="","",VLOOKUP(A31,unit!$A$3:$B$120,2,FALSE))</f>
        <v>1</v>
      </c>
      <c r="E31">
        <f t="shared" si="0"/>
        <v>150</v>
      </c>
    </row>
    <row r="32" spans="1:5" x14ac:dyDescent="0.2">
      <c r="A32" t="s">
        <v>24</v>
      </c>
      <c r="B32" t="s">
        <v>24</v>
      </c>
      <c r="D32" t="str">
        <f>IF(C32="","",VLOOKUP(A32,unit!$A$3:$B$120,2,FALSE))</f>
        <v/>
      </c>
      <c r="E32" t="str">
        <f t="shared" si="0"/>
        <v/>
      </c>
    </row>
    <row r="33" spans="1:5" x14ac:dyDescent="0.2">
      <c r="A33" t="s">
        <v>24</v>
      </c>
      <c r="B33" t="s">
        <v>129</v>
      </c>
      <c r="C33">
        <v>150</v>
      </c>
      <c r="D33">
        <f>IF(C33="","",VLOOKUP(A33,unit!$A$3:$B$120,2,FALSE))</f>
        <v>1</v>
      </c>
      <c r="E33">
        <f t="shared" si="0"/>
        <v>150</v>
      </c>
    </row>
    <row r="34" spans="1:5" x14ac:dyDescent="0.2">
      <c r="A34" t="s">
        <v>25</v>
      </c>
      <c r="B34" t="s">
        <v>141</v>
      </c>
      <c r="D34" t="str">
        <f>IF(C34="","",VLOOKUP(A34,unit!$A$3:$B$120,2,FALSE))</f>
        <v/>
      </c>
      <c r="E34" t="str">
        <f t="shared" si="0"/>
        <v/>
      </c>
    </row>
    <row r="35" spans="1:5" x14ac:dyDescent="0.2">
      <c r="A35" t="s">
        <v>26</v>
      </c>
      <c r="B35" t="s">
        <v>143</v>
      </c>
      <c r="D35" t="str">
        <f>IF(C35="","",VLOOKUP(A35,unit!$A$3:$B$120,2,FALSE))</f>
        <v/>
      </c>
      <c r="E35" t="str">
        <f t="shared" si="0"/>
        <v/>
      </c>
    </row>
    <row r="36" spans="1:5" x14ac:dyDescent="0.2">
      <c r="A36" t="s">
        <v>27</v>
      </c>
      <c r="B36" t="s">
        <v>145</v>
      </c>
      <c r="D36" t="str">
        <f>IF(C36="","",VLOOKUP(A36,unit!$A$3:$B$120,2,FALSE))</f>
        <v/>
      </c>
      <c r="E36" t="str">
        <f t="shared" ref="E36:E67" si="1">IF(C36&lt;&gt;"",C36*D36,"")</f>
        <v/>
      </c>
    </row>
    <row r="37" spans="1:5" x14ac:dyDescent="0.2">
      <c r="A37" t="s">
        <v>28</v>
      </c>
      <c r="B37" t="s">
        <v>142</v>
      </c>
      <c r="D37" t="str">
        <f>IF(C37="","",VLOOKUP(A37,unit!$A$3:$B$120,2,FALSE))</f>
        <v/>
      </c>
      <c r="E37" t="str">
        <f t="shared" si="1"/>
        <v/>
      </c>
    </row>
    <row r="38" spans="1:5" x14ac:dyDescent="0.2">
      <c r="A38" t="s">
        <v>29</v>
      </c>
      <c r="B38" t="s">
        <v>144</v>
      </c>
      <c r="D38" t="str">
        <f>IF(C38="","",VLOOKUP(A38,unit!$A$3:$B$120,2,FALSE))</f>
        <v/>
      </c>
      <c r="E38" t="str">
        <f t="shared" si="1"/>
        <v/>
      </c>
    </row>
    <row r="39" spans="1:5" x14ac:dyDescent="0.2">
      <c r="A39" t="s">
        <v>30</v>
      </c>
      <c r="B39" t="s">
        <v>146</v>
      </c>
      <c r="D39" t="str">
        <f>IF(C39="","",VLOOKUP(A39,unit!$A$3:$B$120,2,FALSE))</f>
        <v/>
      </c>
      <c r="E39" t="str">
        <f t="shared" si="1"/>
        <v/>
      </c>
    </row>
    <row r="40" spans="1:5" x14ac:dyDescent="0.2">
      <c r="A40" t="s">
        <v>31</v>
      </c>
      <c r="B40" t="s">
        <v>31</v>
      </c>
      <c r="D40" t="str">
        <f>IF(C40="","",VLOOKUP(A40,unit!$A$3:$B$120,2,FALSE))</f>
        <v/>
      </c>
      <c r="E40" t="str">
        <f t="shared" si="1"/>
        <v/>
      </c>
    </row>
    <row r="41" spans="1:5" x14ac:dyDescent="0.2">
      <c r="A41" t="s">
        <v>31</v>
      </c>
      <c r="B41" t="s">
        <v>130</v>
      </c>
      <c r="C41">
        <v>10</v>
      </c>
      <c r="D41">
        <f>IF(C41="","",VLOOKUP(A41,unit!$A$3:$B$120,2,FALSE))</f>
        <v>44</v>
      </c>
      <c r="E41">
        <f t="shared" si="1"/>
        <v>440</v>
      </c>
    </row>
    <row r="42" spans="1:5" x14ac:dyDescent="0.2">
      <c r="A42" t="s">
        <v>32</v>
      </c>
      <c r="B42" t="s">
        <v>32</v>
      </c>
      <c r="D42" t="str">
        <f>IF(C42="","",VLOOKUP(A42,unit!$A$3:$B$120,2,FALSE))</f>
        <v/>
      </c>
      <c r="E42" t="str">
        <f t="shared" si="1"/>
        <v/>
      </c>
    </row>
    <row r="43" spans="1:5" x14ac:dyDescent="0.2">
      <c r="A43" t="s">
        <v>32</v>
      </c>
      <c r="B43" t="s">
        <v>133</v>
      </c>
      <c r="C43">
        <v>10</v>
      </c>
      <c r="D43">
        <f>IF(C43="","",VLOOKUP(A43,unit!$A$3:$B$120,2,FALSE))</f>
        <v>279</v>
      </c>
      <c r="E43">
        <f t="shared" si="1"/>
        <v>2790</v>
      </c>
    </row>
    <row r="44" spans="1:5" x14ac:dyDescent="0.2">
      <c r="A44" t="s">
        <v>33</v>
      </c>
      <c r="B44" t="s">
        <v>33</v>
      </c>
      <c r="D44" t="str">
        <f>IF(C44="","",VLOOKUP(A44,unit!$A$3:$B$120,2,FALSE))</f>
        <v/>
      </c>
      <c r="E44" t="str">
        <f t="shared" si="1"/>
        <v/>
      </c>
    </row>
    <row r="45" spans="1:5" x14ac:dyDescent="0.2">
      <c r="A45" t="s">
        <v>33</v>
      </c>
      <c r="B45" t="s">
        <v>131</v>
      </c>
      <c r="C45">
        <v>10</v>
      </c>
      <c r="D45">
        <f>IF(C45="","",VLOOKUP(A45,unit!$A$3:$B$120,2,FALSE))</f>
        <v>71</v>
      </c>
      <c r="E45">
        <f t="shared" si="1"/>
        <v>710</v>
      </c>
    </row>
    <row r="46" spans="1:5" x14ac:dyDescent="0.2">
      <c r="A46" t="s">
        <v>34</v>
      </c>
      <c r="B46" t="s">
        <v>34</v>
      </c>
      <c r="D46" t="str">
        <f>IF(C46="","",VLOOKUP(A46,unit!$A$3:$B$120,2,FALSE))</f>
        <v/>
      </c>
      <c r="E46" t="str">
        <f t="shared" si="1"/>
        <v/>
      </c>
    </row>
    <row r="47" spans="1:5" x14ac:dyDescent="0.2">
      <c r="A47" t="s">
        <v>34</v>
      </c>
      <c r="B47" t="s">
        <v>134</v>
      </c>
      <c r="C47">
        <v>10</v>
      </c>
      <c r="D47">
        <f>IF(C47="","",VLOOKUP(A47,unit!$A$3:$B$120,2,FALSE))</f>
        <v>530</v>
      </c>
      <c r="E47">
        <f t="shared" si="1"/>
        <v>5300</v>
      </c>
    </row>
    <row r="48" spans="1:5" x14ac:dyDescent="0.2">
      <c r="A48" t="s">
        <v>35</v>
      </c>
      <c r="B48" t="s">
        <v>35</v>
      </c>
      <c r="D48" t="str">
        <f>IF(C48="","",VLOOKUP(A48,unit!$A$3:$B$120,2,FALSE))</f>
        <v/>
      </c>
      <c r="E48" t="str">
        <f t="shared" si="1"/>
        <v/>
      </c>
    </row>
    <row r="49" spans="1:5" x14ac:dyDescent="0.2">
      <c r="A49" t="s">
        <v>35</v>
      </c>
      <c r="B49" t="s">
        <v>132</v>
      </c>
      <c r="C49">
        <v>10</v>
      </c>
      <c r="D49">
        <f>IF(C49="","",VLOOKUP(A49,unit!$A$3:$B$120,2,FALSE))</f>
        <v>537</v>
      </c>
      <c r="E49">
        <f t="shared" si="1"/>
        <v>5370</v>
      </c>
    </row>
    <row r="50" spans="1:5" x14ac:dyDescent="0.2">
      <c r="A50" t="s">
        <v>36</v>
      </c>
      <c r="B50" t="s">
        <v>36</v>
      </c>
      <c r="D50" t="str">
        <f>IF(C50="","",VLOOKUP(A50,unit!$A$3:$B$120,2,FALSE))</f>
        <v/>
      </c>
      <c r="E50" t="str">
        <f t="shared" si="1"/>
        <v/>
      </c>
    </row>
    <row r="51" spans="1:5" x14ac:dyDescent="0.2">
      <c r="A51" t="s">
        <v>36</v>
      </c>
      <c r="B51" t="s">
        <v>135</v>
      </c>
      <c r="C51">
        <v>10</v>
      </c>
      <c r="D51">
        <f>IF(C51="","",VLOOKUP(A51,unit!$A$3:$B$120,2,FALSE))</f>
        <v>1714</v>
      </c>
      <c r="E51">
        <f t="shared" si="1"/>
        <v>17140</v>
      </c>
    </row>
    <row r="52" spans="1:5" x14ac:dyDescent="0.2">
      <c r="A52" t="s">
        <v>37</v>
      </c>
      <c r="B52" t="s">
        <v>37</v>
      </c>
      <c r="D52" t="str">
        <f>IF(C52="","",VLOOKUP(A52,unit!$A$3:$B$120,2,FALSE))</f>
        <v/>
      </c>
      <c r="E52" t="str">
        <f t="shared" si="1"/>
        <v/>
      </c>
    </row>
    <row r="53" spans="1:5" x14ac:dyDescent="0.2">
      <c r="A53" t="s">
        <v>37</v>
      </c>
      <c r="B53" t="s">
        <v>127</v>
      </c>
      <c r="C53">
        <v>9.5000000000000001E-2</v>
      </c>
      <c r="D53">
        <f>IF(C53="","",VLOOKUP(A53,unit!$A$3:$B$120,2,FALSE))</f>
        <v>60</v>
      </c>
      <c r="E53">
        <f t="shared" si="1"/>
        <v>5.7</v>
      </c>
    </row>
    <row r="54" spans="1:5" x14ac:dyDescent="0.2">
      <c r="A54" t="s">
        <v>38</v>
      </c>
      <c r="B54" t="s">
        <v>38</v>
      </c>
      <c r="D54" t="str">
        <f>IF(C54="","",VLOOKUP(A54,unit!$A$3:$B$120,2,FALSE))</f>
        <v/>
      </c>
      <c r="E54" t="str">
        <f t="shared" si="1"/>
        <v/>
      </c>
    </row>
    <row r="55" spans="1:5" x14ac:dyDescent="0.2">
      <c r="A55" t="s">
        <v>38</v>
      </c>
      <c r="B55" t="s">
        <v>128</v>
      </c>
      <c r="C55">
        <v>9.5000000000000001E-2</v>
      </c>
      <c r="D55">
        <f>IF(C55="","",VLOOKUP(A55,unit!$A$3:$B$120,2,FALSE))</f>
        <v>60</v>
      </c>
      <c r="E55">
        <f t="shared" si="1"/>
        <v>5.7</v>
      </c>
    </row>
    <row r="56" spans="1:5" x14ac:dyDescent="0.2">
      <c r="A56" t="s">
        <v>39</v>
      </c>
      <c r="B56" t="s">
        <v>39</v>
      </c>
      <c r="D56" t="str">
        <f>IF(C56="","",VLOOKUP(A56,unit!$A$3:$B$120,2,FALSE))</f>
        <v/>
      </c>
      <c r="E56" t="str">
        <f t="shared" si="1"/>
        <v/>
      </c>
    </row>
    <row r="57" spans="1:5" x14ac:dyDescent="0.2">
      <c r="A57" t="s">
        <v>39</v>
      </c>
      <c r="B57" t="s">
        <v>129</v>
      </c>
      <c r="C57">
        <v>9.5000000000000001E-2</v>
      </c>
      <c r="D57">
        <f>IF(C57="","",VLOOKUP(A57,unit!$A$3:$B$120,2,FALSE))</f>
        <v>60</v>
      </c>
      <c r="E57">
        <f t="shared" si="1"/>
        <v>5.7</v>
      </c>
    </row>
    <row r="58" spans="1:5" x14ac:dyDescent="0.2">
      <c r="A58" t="s">
        <v>189</v>
      </c>
      <c r="B58" t="s">
        <v>127</v>
      </c>
      <c r="D58" t="str">
        <f>IF(C58="","",VLOOKUP(A58,unit!$A$3:$B$120,2,FALSE))</f>
        <v/>
      </c>
      <c r="E58" t="str">
        <f t="shared" si="1"/>
        <v/>
      </c>
    </row>
    <row r="59" spans="1:5" x14ac:dyDescent="0.2">
      <c r="A59" t="s">
        <v>189</v>
      </c>
      <c r="B59" t="s">
        <v>138</v>
      </c>
      <c r="D59" t="str">
        <f>IF(C59="","",VLOOKUP(A59,unit!$A$3:$B$120,2,FALSE))</f>
        <v/>
      </c>
      <c r="E59" t="str">
        <f t="shared" si="1"/>
        <v/>
      </c>
    </row>
    <row r="60" spans="1:5" x14ac:dyDescent="0.2">
      <c r="A60" t="s">
        <v>190</v>
      </c>
      <c r="B60" t="s">
        <v>128</v>
      </c>
      <c r="D60" t="str">
        <f>IF(C60="","",VLOOKUP(A60,unit!$A$3:$B$120,2,FALSE))</f>
        <v/>
      </c>
      <c r="E60" t="str">
        <f t="shared" si="1"/>
        <v/>
      </c>
    </row>
    <row r="61" spans="1:5" x14ac:dyDescent="0.2">
      <c r="A61" t="s">
        <v>190</v>
      </c>
      <c r="B61" t="s">
        <v>139</v>
      </c>
      <c r="D61" t="str">
        <f>IF(C61="","",VLOOKUP(A61,unit!$A$3:$B$120,2,FALSE))</f>
        <v/>
      </c>
      <c r="E61" t="str">
        <f t="shared" si="1"/>
        <v/>
      </c>
    </row>
    <row r="62" spans="1:5" x14ac:dyDescent="0.2">
      <c r="A62" t="s">
        <v>191</v>
      </c>
      <c r="B62" t="s">
        <v>129</v>
      </c>
      <c r="D62" t="str">
        <f>IF(C62="","",VLOOKUP(A62,unit!$A$3:$B$120,2,FALSE))</f>
        <v/>
      </c>
      <c r="E62" t="str">
        <f t="shared" si="1"/>
        <v/>
      </c>
    </row>
    <row r="63" spans="1:5" x14ac:dyDescent="0.2">
      <c r="A63" t="s">
        <v>191</v>
      </c>
      <c r="B63" t="s">
        <v>140</v>
      </c>
      <c r="D63" t="str">
        <f>IF(C63="","",VLOOKUP(A63,unit!$A$3:$B$120,2,FALSE))</f>
        <v/>
      </c>
      <c r="E63" t="str">
        <f t="shared" si="1"/>
        <v/>
      </c>
    </row>
    <row r="64" spans="1:5" x14ac:dyDescent="0.2">
      <c r="A64" t="s">
        <v>40</v>
      </c>
      <c r="B64" t="s">
        <v>127</v>
      </c>
      <c r="D64" t="str">
        <f>IF(C64="","",VLOOKUP(A64,unit!$A$3:$B$120,2,FALSE))</f>
        <v/>
      </c>
      <c r="E64" t="str">
        <f t="shared" si="1"/>
        <v/>
      </c>
    </row>
    <row r="65" spans="1:5" x14ac:dyDescent="0.2">
      <c r="A65" t="s">
        <v>40</v>
      </c>
      <c r="B65" t="s">
        <v>138</v>
      </c>
      <c r="D65" t="str">
        <f>IF(C65="","",VLOOKUP(A65,unit!$A$3:$B$120,2,FALSE))</f>
        <v/>
      </c>
      <c r="E65" t="str">
        <f t="shared" si="1"/>
        <v/>
      </c>
    </row>
    <row r="66" spans="1:5" x14ac:dyDescent="0.2">
      <c r="A66" t="s">
        <v>41</v>
      </c>
      <c r="B66" t="s">
        <v>128</v>
      </c>
      <c r="D66" t="str">
        <f>IF(C66="","",VLOOKUP(A66,unit!$A$3:$B$120,2,FALSE))</f>
        <v/>
      </c>
      <c r="E66" t="str">
        <f t="shared" si="1"/>
        <v/>
      </c>
    </row>
    <row r="67" spans="1:5" x14ac:dyDescent="0.2">
      <c r="A67" t="s">
        <v>41</v>
      </c>
      <c r="B67" t="s">
        <v>139</v>
      </c>
      <c r="D67" t="str">
        <f>IF(C67="","",VLOOKUP(A67,unit!$A$3:$B$120,2,FALSE))</f>
        <v/>
      </c>
      <c r="E67" t="str">
        <f t="shared" si="1"/>
        <v/>
      </c>
    </row>
    <row r="68" spans="1:5" x14ac:dyDescent="0.2">
      <c r="A68" t="s">
        <v>42</v>
      </c>
      <c r="B68" t="s">
        <v>129</v>
      </c>
      <c r="D68" t="str">
        <f>IF(C68="","",VLOOKUP(A68,unit!$A$3:$B$120,2,FALSE))</f>
        <v/>
      </c>
      <c r="E68" t="str">
        <f t="shared" ref="E68:E99" si="2">IF(C68&lt;&gt;"",C68*D68,"")</f>
        <v/>
      </c>
    </row>
    <row r="69" spans="1:5" x14ac:dyDescent="0.2">
      <c r="A69" t="s">
        <v>42</v>
      </c>
      <c r="B69" t="s">
        <v>140</v>
      </c>
      <c r="D69" t="str">
        <f>IF(C69="","",VLOOKUP(A69,unit!$A$3:$B$120,2,FALSE))</f>
        <v/>
      </c>
      <c r="E69" t="str">
        <f t="shared" si="2"/>
        <v/>
      </c>
    </row>
    <row r="70" spans="1:5" x14ac:dyDescent="0.2">
      <c r="A70" t="s">
        <v>43</v>
      </c>
      <c r="B70" t="s">
        <v>127</v>
      </c>
      <c r="D70" t="str">
        <f>IF(C70="","",VLOOKUP(A70,unit!$A$3:$B$120,2,FALSE))</f>
        <v/>
      </c>
      <c r="E70" t="str">
        <f t="shared" si="2"/>
        <v/>
      </c>
    </row>
    <row r="71" spans="1:5" x14ac:dyDescent="0.2">
      <c r="A71" t="s">
        <v>43</v>
      </c>
      <c r="B71" t="s">
        <v>138</v>
      </c>
      <c r="D71" t="str">
        <f>IF(C71="","",VLOOKUP(A71,unit!$A$3:$B$120,2,FALSE))</f>
        <v/>
      </c>
      <c r="E71" t="str">
        <f t="shared" si="2"/>
        <v/>
      </c>
    </row>
    <row r="72" spans="1:5" x14ac:dyDescent="0.2">
      <c r="A72" t="s">
        <v>44</v>
      </c>
      <c r="B72" t="s">
        <v>128</v>
      </c>
      <c r="D72" t="str">
        <f>IF(C72="","",VLOOKUP(A72,unit!$A$3:$B$120,2,FALSE))</f>
        <v/>
      </c>
      <c r="E72" t="str">
        <f t="shared" si="2"/>
        <v/>
      </c>
    </row>
    <row r="73" spans="1:5" x14ac:dyDescent="0.2">
      <c r="A73" t="s">
        <v>44</v>
      </c>
      <c r="B73" t="s">
        <v>139</v>
      </c>
      <c r="D73" t="str">
        <f>IF(C73="","",VLOOKUP(A73,unit!$A$3:$B$120,2,FALSE))</f>
        <v/>
      </c>
      <c r="E73" t="str">
        <f t="shared" si="2"/>
        <v/>
      </c>
    </row>
    <row r="74" spans="1:5" x14ac:dyDescent="0.2">
      <c r="A74" t="s">
        <v>45</v>
      </c>
      <c r="B74" t="s">
        <v>129</v>
      </c>
      <c r="D74" t="str">
        <f>IF(C74="","",VLOOKUP(A74,unit!$A$3:$B$120,2,FALSE))</f>
        <v/>
      </c>
      <c r="E74" t="str">
        <f t="shared" si="2"/>
        <v/>
      </c>
    </row>
    <row r="75" spans="1:5" x14ac:dyDescent="0.2">
      <c r="A75" t="s">
        <v>45</v>
      </c>
      <c r="B75" t="s">
        <v>140</v>
      </c>
      <c r="D75" t="str">
        <f>IF(C75="","",VLOOKUP(A75,unit!$A$3:$B$120,2,FALSE))</f>
        <v/>
      </c>
      <c r="E75" t="str">
        <f t="shared" si="2"/>
        <v/>
      </c>
    </row>
    <row r="76" spans="1:5" x14ac:dyDescent="0.2">
      <c r="A76" t="s">
        <v>46</v>
      </c>
      <c r="B76" t="s">
        <v>136</v>
      </c>
      <c r="C76">
        <v>1</v>
      </c>
      <c r="D76">
        <f>IF(C76="","",VLOOKUP(A76,unit!$A$3:$B$120,2,FALSE))</f>
        <v>100</v>
      </c>
      <c r="E76">
        <f t="shared" si="2"/>
        <v>100</v>
      </c>
    </row>
    <row r="77" spans="1:5" x14ac:dyDescent="0.2">
      <c r="A77" t="s">
        <v>46</v>
      </c>
      <c r="B77" t="s">
        <v>138</v>
      </c>
      <c r="D77" t="str">
        <f>IF(C77="","",VLOOKUP(A77,unit!$A$3:$B$120,2,FALSE))</f>
        <v/>
      </c>
      <c r="E77" t="str">
        <f t="shared" si="2"/>
        <v/>
      </c>
    </row>
    <row r="78" spans="1:5" x14ac:dyDescent="0.2">
      <c r="A78" t="s">
        <v>47</v>
      </c>
      <c r="B78" t="s">
        <v>137</v>
      </c>
      <c r="C78">
        <v>1</v>
      </c>
      <c r="D78">
        <f>IF(C78="","",VLOOKUP(A78,unit!$A$3:$B$120,2,FALSE))</f>
        <v>100</v>
      </c>
      <c r="E78">
        <f t="shared" si="2"/>
        <v>100</v>
      </c>
    </row>
    <row r="79" spans="1:5" x14ac:dyDescent="0.2">
      <c r="A79" t="s">
        <v>47</v>
      </c>
      <c r="B79" t="s">
        <v>139</v>
      </c>
      <c r="D79" t="str">
        <f>IF(C79="","",VLOOKUP(A79,unit!$A$3:$B$120,2,FALSE))</f>
        <v/>
      </c>
      <c r="E79" t="str">
        <f t="shared" si="2"/>
        <v/>
      </c>
    </row>
    <row r="80" spans="1:5" x14ac:dyDescent="0.2">
      <c r="A80" t="s">
        <v>48</v>
      </c>
      <c r="B80" t="s">
        <v>126</v>
      </c>
      <c r="C80">
        <v>1</v>
      </c>
      <c r="D80">
        <f>IF(C80="","",VLOOKUP(A80,unit!$A$3:$B$120,2,FALSE))</f>
        <v>100</v>
      </c>
      <c r="E80">
        <f t="shared" si="2"/>
        <v>100</v>
      </c>
    </row>
    <row r="81" spans="1:5" x14ac:dyDescent="0.2">
      <c r="A81" t="s">
        <v>48</v>
      </c>
      <c r="B81" t="s">
        <v>140</v>
      </c>
      <c r="D81" t="str">
        <f>IF(C81="","",VLOOKUP(A81,unit!$A$3:$B$120,2,FALSE))</f>
        <v/>
      </c>
      <c r="E81" t="str">
        <f t="shared" si="2"/>
        <v/>
      </c>
    </row>
    <row r="82" spans="1:5" x14ac:dyDescent="0.2">
      <c r="A82" t="s">
        <v>49</v>
      </c>
      <c r="B82" t="s">
        <v>127</v>
      </c>
      <c r="D82" t="str">
        <f>IF(C82="","",VLOOKUP(A82,unit!$A$3:$B$120,2,FALSE))</f>
        <v/>
      </c>
      <c r="E82" t="str">
        <f t="shared" si="2"/>
        <v/>
      </c>
    </row>
    <row r="83" spans="1:5" x14ac:dyDescent="0.2">
      <c r="A83" t="s">
        <v>50</v>
      </c>
      <c r="B83" t="s">
        <v>128</v>
      </c>
      <c r="D83" t="str">
        <f>IF(C83="","",VLOOKUP(A83,unit!$A$3:$B$120,2,FALSE))</f>
        <v/>
      </c>
      <c r="E83" t="str">
        <f t="shared" si="2"/>
        <v/>
      </c>
    </row>
    <row r="84" spans="1:5" x14ac:dyDescent="0.2">
      <c r="A84" t="s">
        <v>51</v>
      </c>
      <c r="B84" t="s">
        <v>129</v>
      </c>
      <c r="D84" t="str">
        <f>IF(C84="","",VLOOKUP(A84,unit!$A$3:$B$120,2,FALSE))</f>
        <v/>
      </c>
      <c r="E84" t="str">
        <f t="shared" si="2"/>
        <v/>
      </c>
    </row>
    <row r="85" spans="1:5" x14ac:dyDescent="0.2">
      <c r="A85" t="s">
        <v>52</v>
      </c>
      <c r="B85" t="s">
        <v>136</v>
      </c>
      <c r="C85">
        <v>1</v>
      </c>
      <c r="D85">
        <f>IF(C85="","",VLOOKUP(A85,unit!$A$3:$B$120,2,FALSE))</f>
        <v>100</v>
      </c>
      <c r="E85">
        <f t="shared" si="2"/>
        <v>100</v>
      </c>
    </row>
    <row r="86" spans="1:5" x14ac:dyDescent="0.2">
      <c r="A86" t="s">
        <v>52</v>
      </c>
      <c r="B86" t="s">
        <v>138</v>
      </c>
      <c r="D86" t="str">
        <f>IF(C86="","",VLOOKUP(A86,unit!$A$3:$B$120,2,FALSE))</f>
        <v/>
      </c>
      <c r="E86" t="str">
        <f t="shared" si="2"/>
        <v/>
      </c>
    </row>
    <row r="87" spans="1:5" x14ac:dyDescent="0.2">
      <c r="A87" t="s">
        <v>53</v>
      </c>
      <c r="B87" t="s">
        <v>137</v>
      </c>
      <c r="C87">
        <v>1</v>
      </c>
      <c r="D87">
        <f>IF(C87="","",VLOOKUP(A87,unit!$A$3:$B$120,2,FALSE))</f>
        <v>100</v>
      </c>
      <c r="E87">
        <f t="shared" si="2"/>
        <v>100</v>
      </c>
    </row>
    <row r="88" spans="1:5" x14ac:dyDescent="0.2">
      <c r="A88" t="s">
        <v>53</v>
      </c>
      <c r="B88" t="s">
        <v>139</v>
      </c>
      <c r="D88" t="str">
        <f>IF(C88="","",VLOOKUP(A88,unit!$A$3:$B$120,2,FALSE))</f>
        <v/>
      </c>
      <c r="E88" t="str">
        <f t="shared" si="2"/>
        <v/>
      </c>
    </row>
    <row r="89" spans="1:5" x14ac:dyDescent="0.2">
      <c r="A89" t="s">
        <v>54</v>
      </c>
      <c r="B89" t="s">
        <v>126</v>
      </c>
      <c r="C89">
        <v>1</v>
      </c>
      <c r="D89">
        <f>IF(C89="","",VLOOKUP(A89,unit!$A$3:$B$120,2,FALSE))</f>
        <v>100</v>
      </c>
      <c r="E89">
        <f t="shared" si="2"/>
        <v>100</v>
      </c>
    </row>
    <row r="90" spans="1:5" x14ac:dyDescent="0.2">
      <c r="A90" t="s">
        <v>54</v>
      </c>
      <c r="B90" t="s">
        <v>140</v>
      </c>
      <c r="D90" t="str">
        <f>IF(C90="","",VLOOKUP(A90,unit!$A$3:$B$120,2,FALSE))</f>
        <v/>
      </c>
      <c r="E90" t="str">
        <f t="shared" si="2"/>
        <v/>
      </c>
    </row>
    <row r="91" spans="1:5" x14ac:dyDescent="0.2">
      <c r="A91" t="s">
        <v>55</v>
      </c>
      <c r="B91" t="s">
        <v>141</v>
      </c>
      <c r="C91">
        <v>0.08</v>
      </c>
      <c r="D91">
        <f>IF(C91="","",VLOOKUP(A91,unit!$A$3:$B$120,2,FALSE))</f>
        <v>44</v>
      </c>
      <c r="E91">
        <f t="shared" si="2"/>
        <v>3.52</v>
      </c>
    </row>
    <row r="92" spans="1:5" x14ac:dyDescent="0.2">
      <c r="A92" t="s">
        <v>56</v>
      </c>
      <c r="B92" t="s">
        <v>143</v>
      </c>
      <c r="C92">
        <v>0.08</v>
      </c>
      <c r="D92">
        <f>IF(C92="","",VLOOKUP(A92,unit!$A$3:$B$120,2,FALSE))</f>
        <v>71</v>
      </c>
      <c r="E92">
        <f t="shared" si="2"/>
        <v>5.68</v>
      </c>
    </row>
    <row r="93" spans="1:5" x14ac:dyDescent="0.2">
      <c r="A93" t="s">
        <v>57</v>
      </c>
      <c r="B93" t="s">
        <v>145</v>
      </c>
      <c r="C93">
        <v>0.08</v>
      </c>
      <c r="D93">
        <f>IF(C93="","",VLOOKUP(A93,unit!$A$3:$B$120,2,FALSE))</f>
        <v>537</v>
      </c>
      <c r="E93">
        <f t="shared" si="2"/>
        <v>42.96</v>
      </c>
    </row>
    <row r="94" spans="1:5" x14ac:dyDescent="0.2">
      <c r="A94" t="s">
        <v>58</v>
      </c>
      <c r="B94" t="s">
        <v>142</v>
      </c>
      <c r="C94">
        <v>1.7000000000000001E-2</v>
      </c>
      <c r="D94">
        <f>IF(C94="","",VLOOKUP(A94,unit!$A$3:$B$120,2,FALSE))</f>
        <v>279</v>
      </c>
      <c r="E94">
        <f t="shared" si="2"/>
        <v>4.7430000000000003</v>
      </c>
    </row>
    <row r="95" spans="1:5" x14ac:dyDescent="0.2">
      <c r="A95" t="s">
        <v>59</v>
      </c>
      <c r="B95" t="s">
        <v>144</v>
      </c>
      <c r="C95">
        <v>1.7000000000000001E-2</v>
      </c>
      <c r="D95">
        <f>IF(C95="","",VLOOKUP(A95,unit!$A$3:$B$120,2,FALSE))</f>
        <v>530</v>
      </c>
      <c r="E95">
        <f t="shared" si="2"/>
        <v>9.01</v>
      </c>
    </row>
    <row r="96" spans="1:5" x14ac:dyDescent="0.2">
      <c r="A96" t="s">
        <v>60</v>
      </c>
      <c r="B96" t="s">
        <v>146</v>
      </c>
      <c r="C96">
        <v>1.7000000000000001E-2</v>
      </c>
      <c r="D96">
        <f>IF(C96="","",VLOOKUP(A96,unit!$A$3:$B$120,2,FALSE))</f>
        <v>1714</v>
      </c>
      <c r="E96">
        <f t="shared" si="2"/>
        <v>29.138000000000002</v>
      </c>
    </row>
    <row r="97" spans="1:5" x14ac:dyDescent="0.2">
      <c r="A97" t="s">
        <v>61</v>
      </c>
      <c r="B97" t="s">
        <v>138</v>
      </c>
      <c r="C97">
        <v>1</v>
      </c>
      <c r="D97">
        <f>IF(C97="","",VLOOKUP(A97,unit!$A$3:$B$120,2,FALSE))</f>
        <v>100</v>
      </c>
      <c r="E97">
        <f t="shared" si="2"/>
        <v>100</v>
      </c>
    </row>
    <row r="98" spans="1:5" x14ac:dyDescent="0.2">
      <c r="A98" t="s">
        <v>62</v>
      </c>
      <c r="B98" t="s">
        <v>139</v>
      </c>
      <c r="C98">
        <v>1</v>
      </c>
      <c r="D98">
        <f>IF(C98="","",VLOOKUP(A98,unit!$A$3:$B$120,2,FALSE))</f>
        <v>100</v>
      </c>
      <c r="E98">
        <f t="shared" si="2"/>
        <v>100</v>
      </c>
    </row>
    <row r="99" spans="1:5" x14ac:dyDescent="0.2">
      <c r="A99" t="s">
        <v>63</v>
      </c>
      <c r="B99" t="s">
        <v>140</v>
      </c>
      <c r="C99">
        <v>1</v>
      </c>
      <c r="D99">
        <f>IF(C99="","",VLOOKUP(A99,unit!$A$3:$B$120,2,FALSE))</f>
        <v>100</v>
      </c>
      <c r="E99">
        <f t="shared" si="2"/>
        <v>100</v>
      </c>
    </row>
    <row r="100" spans="1:5" x14ac:dyDescent="0.2">
      <c r="A100" t="s">
        <v>64</v>
      </c>
      <c r="B100" t="s">
        <v>138</v>
      </c>
      <c r="C100">
        <v>1</v>
      </c>
      <c r="D100">
        <f>IF(C100="","",VLOOKUP(A100,unit!$A$3:$B$120,2,FALSE))</f>
        <v>100</v>
      </c>
      <c r="E100">
        <f t="shared" ref="E100:E131" si="3">IF(C100&lt;&gt;"",C100*D100,"")</f>
        <v>100</v>
      </c>
    </row>
    <row r="101" spans="1:5" x14ac:dyDescent="0.2">
      <c r="A101" t="s">
        <v>65</v>
      </c>
      <c r="B101" t="s">
        <v>139</v>
      </c>
      <c r="C101">
        <v>1</v>
      </c>
      <c r="D101">
        <f>IF(C101="","",VLOOKUP(A101,unit!$A$3:$B$120,2,FALSE))</f>
        <v>100</v>
      </c>
      <c r="E101">
        <f t="shared" si="3"/>
        <v>100</v>
      </c>
    </row>
    <row r="102" spans="1:5" x14ac:dyDescent="0.2">
      <c r="A102" t="s">
        <v>66</v>
      </c>
      <c r="B102" t="s">
        <v>140</v>
      </c>
      <c r="C102">
        <v>1</v>
      </c>
      <c r="D102">
        <f>IF(C102="","",VLOOKUP(A102,unit!$A$3:$B$120,2,FALSE))</f>
        <v>100</v>
      </c>
      <c r="E102">
        <f t="shared" si="3"/>
        <v>100</v>
      </c>
    </row>
    <row r="103" spans="1:5" x14ac:dyDescent="0.2">
      <c r="A103" t="s">
        <v>67</v>
      </c>
      <c r="B103" t="s">
        <v>67</v>
      </c>
      <c r="D103" t="str">
        <f>IF(C103="","",VLOOKUP(A103,unit!$A$3:$B$120,2,FALSE))</f>
        <v/>
      </c>
      <c r="E103" t="str">
        <f t="shared" si="3"/>
        <v/>
      </c>
    </row>
    <row r="104" spans="1:5" x14ac:dyDescent="0.2">
      <c r="A104" t="s">
        <v>67</v>
      </c>
      <c r="B104" t="s">
        <v>138</v>
      </c>
      <c r="C104">
        <v>2.9</v>
      </c>
      <c r="D104">
        <f>IF(C104="","",VLOOKUP(A104,unit!$A$3:$B$120,2,FALSE))</f>
        <v>6</v>
      </c>
      <c r="E104">
        <f t="shared" si="3"/>
        <v>17.399999999999999</v>
      </c>
    </row>
    <row r="105" spans="1:5" x14ac:dyDescent="0.2">
      <c r="A105" t="s">
        <v>68</v>
      </c>
      <c r="B105" t="s">
        <v>68</v>
      </c>
      <c r="D105" t="str">
        <f>IF(C105="","",VLOOKUP(A105,unit!$A$3:$B$120,2,FALSE))</f>
        <v/>
      </c>
      <c r="E105" t="str">
        <f t="shared" si="3"/>
        <v/>
      </c>
    </row>
    <row r="106" spans="1:5" x14ac:dyDescent="0.2">
      <c r="A106" t="s">
        <v>68</v>
      </c>
      <c r="B106" t="s">
        <v>139</v>
      </c>
      <c r="C106">
        <v>2.9</v>
      </c>
      <c r="D106">
        <f>IF(C106="","",VLOOKUP(A106,unit!$A$3:$B$120,2,FALSE))</f>
        <v>6</v>
      </c>
      <c r="E106">
        <f t="shared" si="3"/>
        <v>17.399999999999999</v>
      </c>
    </row>
    <row r="107" spans="1:5" x14ac:dyDescent="0.2">
      <c r="A107" t="s">
        <v>69</v>
      </c>
      <c r="B107" t="s">
        <v>69</v>
      </c>
      <c r="D107" t="str">
        <f>IF(C107="","",VLOOKUP(A107,unit!$A$3:$B$120,2,FALSE))</f>
        <v/>
      </c>
      <c r="E107" t="str">
        <f t="shared" si="3"/>
        <v/>
      </c>
    </row>
    <row r="108" spans="1:5" x14ac:dyDescent="0.2">
      <c r="A108" t="s">
        <v>69</v>
      </c>
      <c r="B108" t="s">
        <v>140</v>
      </c>
      <c r="C108">
        <v>2.9</v>
      </c>
      <c r="D108">
        <f>IF(C108="","",VLOOKUP(A108,unit!$A$3:$B$120,2,FALSE))</f>
        <v>6</v>
      </c>
      <c r="E108">
        <f t="shared" si="3"/>
        <v>17.399999999999999</v>
      </c>
    </row>
    <row r="109" spans="1:5" x14ac:dyDescent="0.2">
      <c r="A109" t="s">
        <v>70</v>
      </c>
      <c r="B109" t="s">
        <v>70</v>
      </c>
      <c r="D109" t="str">
        <f>IF(C109="","",VLOOKUP(A109,unit!$A$3:$B$120,2,FALSE))</f>
        <v/>
      </c>
      <c r="E109" t="str">
        <f t="shared" si="3"/>
        <v/>
      </c>
    </row>
    <row r="110" spans="1:5" x14ac:dyDescent="0.2">
      <c r="A110" t="s">
        <v>70</v>
      </c>
      <c r="B110" t="s">
        <v>141</v>
      </c>
      <c r="C110">
        <v>0.02</v>
      </c>
      <c r="D110">
        <f>IF(C110="","",VLOOKUP(A110,unit!$A$3:$B$120,2,FALSE))</f>
        <v>44</v>
      </c>
      <c r="E110">
        <f t="shared" si="3"/>
        <v>0.88</v>
      </c>
    </row>
    <row r="111" spans="1:5" x14ac:dyDescent="0.2">
      <c r="A111" t="s">
        <v>71</v>
      </c>
      <c r="B111" t="s">
        <v>71</v>
      </c>
      <c r="D111" t="str">
        <f>IF(C111="","",VLOOKUP(A111,unit!$A$3:$B$120,2,FALSE))</f>
        <v/>
      </c>
      <c r="E111" t="str">
        <f t="shared" si="3"/>
        <v/>
      </c>
    </row>
    <row r="112" spans="1:5" x14ac:dyDescent="0.2">
      <c r="A112" t="s">
        <v>71</v>
      </c>
      <c r="B112" t="s">
        <v>142</v>
      </c>
      <c r="C112">
        <v>0.02</v>
      </c>
      <c r="D112">
        <f>IF(C112="","",VLOOKUP(A112,unit!$A$3:$B$120,2,FALSE))</f>
        <v>279</v>
      </c>
      <c r="E112">
        <f t="shared" si="3"/>
        <v>5.58</v>
      </c>
    </row>
    <row r="113" spans="1:5" x14ac:dyDescent="0.2">
      <c r="A113" t="s">
        <v>72</v>
      </c>
      <c r="B113" t="s">
        <v>72</v>
      </c>
      <c r="D113" t="str">
        <f>IF(C113="","",VLOOKUP(A113,unit!$A$3:$B$120,2,FALSE))</f>
        <v/>
      </c>
      <c r="E113" t="str">
        <f t="shared" si="3"/>
        <v/>
      </c>
    </row>
    <row r="114" spans="1:5" x14ac:dyDescent="0.2">
      <c r="A114" t="s">
        <v>72</v>
      </c>
      <c r="B114" t="s">
        <v>143</v>
      </c>
      <c r="C114">
        <v>0.02</v>
      </c>
      <c r="D114">
        <f>IF(C114="","",VLOOKUP(A114,unit!$A$3:$B$120,2,FALSE))</f>
        <v>71</v>
      </c>
      <c r="E114">
        <f t="shared" si="3"/>
        <v>1.42</v>
      </c>
    </row>
    <row r="115" spans="1:5" x14ac:dyDescent="0.2">
      <c r="A115" t="s">
        <v>73</v>
      </c>
      <c r="B115" t="s">
        <v>73</v>
      </c>
      <c r="D115" t="str">
        <f>IF(C115="","",VLOOKUP(A115,unit!$A$3:$B$120,2,FALSE))</f>
        <v/>
      </c>
      <c r="E115" t="str">
        <f t="shared" si="3"/>
        <v/>
      </c>
    </row>
    <row r="116" spans="1:5" x14ac:dyDescent="0.2">
      <c r="A116" t="s">
        <v>73</v>
      </c>
      <c r="B116" t="s">
        <v>144</v>
      </c>
      <c r="C116">
        <v>0.02</v>
      </c>
      <c r="D116">
        <f>IF(C116="","",VLOOKUP(A116,unit!$A$3:$B$120,2,FALSE))</f>
        <v>530</v>
      </c>
      <c r="E116">
        <f t="shared" si="3"/>
        <v>10.6</v>
      </c>
    </row>
    <row r="117" spans="1:5" x14ac:dyDescent="0.2">
      <c r="A117" t="s">
        <v>74</v>
      </c>
      <c r="B117" t="s">
        <v>74</v>
      </c>
      <c r="D117" t="str">
        <f>IF(C117="","",VLOOKUP(A117,unit!$A$3:$B$120,2,FALSE))</f>
        <v/>
      </c>
      <c r="E117" t="str">
        <f t="shared" si="3"/>
        <v/>
      </c>
    </row>
    <row r="118" spans="1:5" x14ac:dyDescent="0.2">
      <c r="A118" t="s">
        <v>74</v>
      </c>
      <c r="B118" t="s">
        <v>145</v>
      </c>
      <c r="C118">
        <v>0.02</v>
      </c>
      <c r="D118">
        <f>IF(C118="","",VLOOKUP(A118,unit!$A$3:$B$120,2,FALSE))</f>
        <v>537</v>
      </c>
      <c r="E118">
        <f t="shared" si="3"/>
        <v>10.74</v>
      </c>
    </row>
    <row r="119" spans="1:5" x14ac:dyDescent="0.2">
      <c r="A119" t="s">
        <v>75</v>
      </c>
      <c r="B119" t="s">
        <v>75</v>
      </c>
      <c r="D119" t="str">
        <f>IF(C119="","",VLOOKUP(A119,unit!$A$3:$B$120,2,FALSE))</f>
        <v/>
      </c>
      <c r="E119" t="str">
        <f t="shared" si="3"/>
        <v/>
      </c>
    </row>
    <row r="120" spans="1:5" x14ac:dyDescent="0.2">
      <c r="A120" t="s">
        <v>75</v>
      </c>
      <c r="B120" t="s">
        <v>146</v>
      </c>
      <c r="C120">
        <v>0.02</v>
      </c>
      <c r="D120">
        <f>IF(C120="","",VLOOKUP(A120,unit!$A$3:$B$120,2,FALSE))</f>
        <v>1714</v>
      </c>
      <c r="E120">
        <f t="shared" si="3"/>
        <v>34.28</v>
      </c>
    </row>
    <row r="121" spans="1:5" x14ac:dyDescent="0.2">
      <c r="A121" t="s">
        <v>76</v>
      </c>
      <c r="B121" t="s">
        <v>136</v>
      </c>
      <c r="C121">
        <v>7.7</v>
      </c>
      <c r="D121">
        <f>IF(C121="","",VLOOKUP(A121,unit!$A$3:$B$120,2,FALSE))</f>
        <v>213</v>
      </c>
      <c r="E121">
        <f t="shared" si="3"/>
        <v>1640.1000000000001</v>
      </c>
    </row>
    <row r="122" spans="1:5" x14ac:dyDescent="0.2">
      <c r="A122" t="s">
        <v>76</v>
      </c>
      <c r="B122" t="s">
        <v>147</v>
      </c>
      <c r="D122" t="str">
        <f>IF(C122="","",VLOOKUP(A122,unit!$A$3:$B$120,2,FALSE))</f>
        <v/>
      </c>
      <c r="E122" t="str">
        <f t="shared" si="3"/>
        <v/>
      </c>
    </row>
    <row r="123" spans="1:5" x14ac:dyDescent="0.2">
      <c r="A123" t="s">
        <v>77</v>
      </c>
      <c r="B123" t="s">
        <v>137</v>
      </c>
      <c r="C123">
        <v>7.7</v>
      </c>
      <c r="D123">
        <f>IF(C123="","",VLOOKUP(A123,unit!$A$3:$B$120,2,FALSE))</f>
        <v>213</v>
      </c>
      <c r="E123">
        <f t="shared" si="3"/>
        <v>1640.1000000000001</v>
      </c>
    </row>
    <row r="124" spans="1:5" x14ac:dyDescent="0.2">
      <c r="A124" t="s">
        <v>77</v>
      </c>
      <c r="B124" t="s">
        <v>148</v>
      </c>
      <c r="D124" t="str">
        <f>IF(C124="","",VLOOKUP(A124,unit!$A$3:$B$120,2,FALSE))</f>
        <v/>
      </c>
      <c r="E124" t="str">
        <f t="shared" si="3"/>
        <v/>
      </c>
    </row>
    <row r="125" spans="1:5" x14ac:dyDescent="0.2">
      <c r="A125" t="s">
        <v>78</v>
      </c>
      <c r="B125" t="s">
        <v>126</v>
      </c>
      <c r="C125">
        <v>7.7</v>
      </c>
      <c r="D125">
        <f>IF(C125="","",VLOOKUP(A125,unit!$A$3:$B$120,2,FALSE))</f>
        <v>213</v>
      </c>
      <c r="E125">
        <f t="shared" si="3"/>
        <v>1640.1000000000001</v>
      </c>
    </row>
    <row r="126" spans="1:5" x14ac:dyDescent="0.2">
      <c r="A126" t="s">
        <v>78</v>
      </c>
      <c r="B126" t="s">
        <v>149</v>
      </c>
      <c r="D126" t="str">
        <f>IF(C126="","",VLOOKUP(A126,unit!$A$3:$B$120,2,FALSE))</f>
        <v/>
      </c>
      <c r="E126" t="str">
        <f t="shared" si="3"/>
        <v/>
      </c>
    </row>
    <row r="127" spans="1:5" x14ac:dyDescent="0.2">
      <c r="A127" t="s">
        <v>79</v>
      </c>
      <c r="B127" t="s">
        <v>136</v>
      </c>
      <c r="C127">
        <v>50</v>
      </c>
      <c r="D127">
        <f>IF(C127="","",VLOOKUP(A127,unit!$A$3:$B$120,2,FALSE))</f>
        <v>4</v>
      </c>
      <c r="E127">
        <f t="shared" si="3"/>
        <v>200</v>
      </c>
    </row>
    <row r="128" spans="1:5" x14ac:dyDescent="0.2">
      <c r="A128" t="s">
        <v>79</v>
      </c>
      <c r="B128" t="s">
        <v>79</v>
      </c>
      <c r="D128" t="str">
        <f>IF(C128="","",VLOOKUP(A128,unit!$A$3:$B$120,2,FALSE))</f>
        <v/>
      </c>
      <c r="E128" t="str">
        <f t="shared" si="3"/>
        <v/>
      </c>
    </row>
    <row r="129" spans="1:5" x14ac:dyDescent="0.2">
      <c r="A129" t="s">
        <v>80</v>
      </c>
      <c r="B129" t="s">
        <v>137</v>
      </c>
      <c r="C129">
        <v>50</v>
      </c>
      <c r="D129">
        <f>IF(C129="","",VLOOKUP(A129,unit!$A$3:$B$120,2,FALSE))</f>
        <v>4</v>
      </c>
      <c r="E129">
        <f t="shared" si="3"/>
        <v>200</v>
      </c>
    </row>
    <row r="130" spans="1:5" x14ac:dyDescent="0.2">
      <c r="A130" t="s">
        <v>80</v>
      </c>
      <c r="B130" t="s">
        <v>80</v>
      </c>
      <c r="D130" t="str">
        <f>IF(C130="","",VLOOKUP(A130,unit!$A$3:$B$120,2,FALSE))</f>
        <v/>
      </c>
      <c r="E130" t="str">
        <f t="shared" si="3"/>
        <v/>
      </c>
    </row>
    <row r="131" spans="1:5" x14ac:dyDescent="0.2">
      <c r="A131" t="s">
        <v>81</v>
      </c>
      <c r="B131" t="s">
        <v>126</v>
      </c>
      <c r="C131">
        <v>50</v>
      </c>
      <c r="D131">
        <f>IF(C131="","",VLOOKUP(A131,unit!$A$3:$B$120,2,FALSE))</f>
        <v>4</v>
      </c>
      <c r="E131">
        <f t="shared" si="3"/>
        <v>200</v>
      </c>
    </row>
    <row r="132" spans="1:5" x14ac:dyDescent="0.2">
      <c r="A132" t="s">
        <v>81</v>
      </c>
      <c r="B132" t="s">
        <v>81</v>
      </c>
      <c r="D132" t="str">
        <f>IF(C132="","",VLOOKUP(A132,unit!$A$3:$B$120,2,FALSE))</f>
        <v/>
      </c>
      <c r="E132" t="str">
        <f t="shared" ref="E132:E163" si="4">IF(C132&lt;&gt;"",C132*D132,"")</f>
        <v/>
      </c>
    </row>
    <row r="133" spans="1:5" x14ac:dyDescent="0.2">
      <c r="A133" t="s">
        <v>82</v>
      </c>
      <c r="B133" t="s">
        <v>136</v>
      </c>
      <c r="C133">
        <v>1.2</v>
      </c>
      <c r="D133">
        <f>IF(C133="","",VLOOKUP(A133,unit!$A$3:$B$120,2,FALSE))</f>
        <v>241</v>
      </c>
      <c r="E133">
        <f t="shared" si="4"/>
        <v>289.2</v>
      </c>
    </row>
    <row r="134" spans="1:5" x14ac:dyDescent="0.2">
      <c r="A134" t="s">
        <v>82</v>
      </c>
      <c r="B134" t="s">
        <v>82</v>
      </c>
      <c r="D134" t="str">
        <f>IF(C134="","",VLOOKUP(A134,unit!$A$3:$B$120,2,FALSE))</f>
        <v/>
      </c>
      <c r="E134" t="str">
        <f t="shared" si="4"/>
        <v/>
      </c>
    </row>
    <row r="135" spans="1:5" x14ac:dyDescent="0.2">
      <c r="A135" t="s">
        <v>83</v>
      </c>
      <c r="B135" t="s">
        <v>137</v>
      </c>
      <c r="C135">
        <v>1.2</v>
      </c>
      <c r="D135">
        <f>IF(C135="","",VLOOKUP(A135,unit!$A$3:$B$120,2,FALSE))</f>
        <v>241</v>
      </c>
      <c r="E135">
        <f t="shared" si="4"/>
        <v>289.2</v>
      </c>
    </row>
    <row r="136" spans="1:5" x14ac:dyDescent="0.2">
      <c r="A136" t="s">
        <v>83</v>
      </c>
      <c r="B136" t="s">
        <v>83</v>
      </c>
      <c r="D136" t="str">
        <f>IF(C136="","",VLOOKUP(A136,unit!$A$3:$B$120,2,FALSE))</f>
        <v/>
      </c>
      <c r="E136" t="str">
        <f t="shared" si="4"/>
        <v/>
      </c>
    </row>
    <row r="137" spans="1:5" x14ac:dyDescent="0.2">
      <c r="A137" t="s">
        <v>84</v>
      </c>
      <c r="B137" t="s">
        <v>126</v>
      </c>
      <c r="C137">
        <v>1.2</v>
      </c>
      <c r="D137">
        <f>IF(C137="","",VLOOKUP(A137,unit!$A$3:$B$120,2,FALSE))</f>
        <v>241</v>
      </c>
      <c r="E137">
        <f t="shared" si="4"/>
        <v>289.2</v>
      </c>
    </row>
    <row r="138" spans="1:5" x14ac:dyDescent="0.2">
      <c r="A138" t="s">
        <v>84</v>
      </c>
      <c r="B138" t="s">
        <v>84</v>
      </c>
      <c r="D138" t="str">
        <f>IF(C138="","",VLOOKUP(A138,unit!$A$3:$B$120,2,FALSE))</f>
        <v/>
      </c>
      <c r="E138" t="str">
        <f t="shared" si="4"/>
        <v/>
      </c>
    </row>
    <row r="139" spans="1:5" x14ac:dyDescent="0.2">
      <c r="A139" t="s">
        <v>85</v>
      </c>
      <c r="B139" t="s">
        <v>125</v>
      </c>
      <c r="D139" t="str">
        <f>IF(C139="","",VLOOKUP(A139,unit!$A$3:$B$120,2,FALSE))</f>
        <v/>
      </c>
      <c r="E139" t="str">
        <f t="shared" si="4"/>
        <v/>
      </c>
    </row>
    <row r="140" spans="1:5" x14ac:dyDescent="0.2">
      <c r="A140" t="s">
        <v>85</v>
      </c>
      <c r="B140" t="s">
        <v>141</v>
      </c>
      <c r="C140">
        <v>0.08</v>
      </c>
      <c r="D140">
        <f>IF(C140="","",VLOOKUP(A140,unit!$A$3:$B$120,2,FALSE))</f>
        <v>44</v>
      </c>
      <c r="E140">
        <f t="shared" si="4"/>
        <v>3.52</v>
      </c>
    </row>
    <row r="141" spans="1:5" x14ac:dyDescent="0.2">
      <c r="A141" t="s">
        <v>86</v>
      </c>
      <c r="B141" t="s">
        <v>125</v>
      </c>
      <c r="D141" t="str">
        <f>IF(C141="","",VLOOKUP(A141,unit!$A$3:$B$120,2,FALSE))</f>
        <v/>
      </c>
      <c r="E141" t="str">
        <f t="shared" si="4"/>
        <v/>
      </c>
    </row>
    <row r="142" spans="1:5" x14ac:dyDescent="0.2">
      <c r="A142" t="s">
        <v>86</v>
      </c>
      <c r="B142" t="s">
        <v>143</v>
      </c>
      <c r="C142">
        <v>0.08</v>
      </c>
      <c r="D142">
        <f>IF(C142="","",VLOOKUP(A142,unit!$A$3:$B$120,2,FALSE))</f>
        <v>71</v>
      </c>
      <c r="E142">
        <f t="shared" si="4"/>
        <v>5.68</v>
      </c>
    </row>
    <row r="143" spans="1:5" x14ac:dyDescent="0.2">
      <c r="A143" t="s">
        <v>87</v>
      </c>
      <c r="B143" t="s">
        <v>125</v>
      </c>
      <c r="D143" t="str">
        <f>IF(C143="","",VLOOKUP(A143,unit!$A$3:$B$120,2,FALSE))</f>
        <v/>
      </c>
      <c r="E143" t="str">
        <f t="shared" si="4"/>
        <v/>
      </c>
    </row>
    <row r="144" spans="1:5" x14ac:dyDescent="0.2">
      <c r="A144" t="s">
        <v>87</v>
      </c>
      <c r="B144" t="s">
        <v>145</v>
      </c>
      <c r="C144">
        <v>0.08</v>
      </c>
      <c r="D144">
        <f>IF(C144="","",VLOOKUP(A144,unit!$A$3:$B$120,2,FALSE))</f>
        <v>537</v>
      </c>
      <c r="E144">
        <f t="shared" si="4"/>
        <v>42.96</v>
      </c>
    </row>
    <row r="145" spans="1:5" x14ac:dyDescent="0.2">
      <c r="A145" t="s">
        <v>88</v>
      </c>
      <c r="B145" t="s">
        <v>125</v>
      </c>
      <c r="D145" t="str">
        <f>IF(C145="","",VLOOKUP(A145,unit!$A$3:$B$120,2,FALSE))</f>
        <v/>
      </c>
      <c r="E145" t="str">
        <f t="shared" si="4"/>
        <v/>
      </c>
    </row>
    <row r="146" spans="1:5" x14ac:dyDescent="0.2">
      <c r="A146" t="s">
        <v>88</v>
      </c>
      <c r="B146" t="s">
        <v>142</v>
      </c>
      <c r="C146">
        <v>1.7000000000000001E-2</v>
      </c>
      <c r="D146">
        <f>IF(C146="","",VLOOKUP(A146,unit!$A$3:$B$120,2,FALSE))</f>
        <v>279</v>
      </c>
      <c r="E146">
        <f t="shared" si="4"/>
        <v>4.7430000000000003</v>
      </c>
    </row>
    <row r="147" spans="1:5" x14ac:dyDescent="0.2">
      <c r="A147" t="s">
        <v>89</v>
      </c>
      <c r="B147" t="s">
        <v>125</v>
      </c>
      <c r="D147" t="str">
        <f>IF(C147="","",VLOOKUP(A147,unit!$A$3:$B$120,2,FALSE))</f>
        <v/>
      </c>
      <c r="E147" t="str">
        <f t="shared" si="4"/>
        <v/>
      </c>
    </row>
    <row r="148" spans="1:5" x14ac:dyDescent="0.2">
      <c r="A148" t="s">
        <v>89</v>
      </c>
      <c r="B148" t="s">
        <v>144</v>
      </c>
      <c r="C148">
        <v>1.7000000000000001E-2</v>
      </c>
      <c r="D148">
        <f>IF(C148="","",VLOOKUP(A148,unit!$A$3:$B$120,2,FALSE))</f>
        <v>530</v>
      </c>
      <c r="E148">
        <f t="shared" si="4"/>
        <v>9.01</v>
      </c>
    </row>
    <row r="149" spans="1:5" x14ac:dyDescent="0.2">
      <c r="A149" t="s">
        <v>90</v>
      </c>
      <c r="B149" t="s">
        <v>125</v>
      </c>
      <c r="D149" t="str">
        <f>IF(C149="","",VLOOKUP(A149,unit!$A$3:$B$120,2,FALSE))</f>
        <v/>
      </c>
      <c r="E149" t="str">
        <f t="shared" si="4"/>
        <v/>
      </c>
    </row>
    <row r="150" spans="1:5" x14ac:dyDescent="0.2">
      <c r="A150" t="s">
        <v>90</v>
      </c>
      <c r="B150" t="s">
        <v>146</v>
      </c>
      <c r="C150">
        <v>1.7000000000000001E-2</v>
      </c>
      <c r="D150">
        <f>IF(C150="","",VLOOKUP(A150,unit!$A$3:$B$120,2,FALSE))</f>
        <v>1714</v>
      </c>
      <c r="E150">
        <f t="shared" si="4"/>
        <v>29.138000000000002</v>
      </c>
    </row>
    <row r="151" spans="1:5" x14ac:dyDescent="0.2">
      <c r="A151" t="s">
        <v>91</v>
      </c>
      <c r="B151" t="s">
        <v>136</v>
      </c>
      <c r="C151">
        <v>1</v>
      </c>
      <c r="D151">
        <f>IF(C151="","",VLOOKUP(A151,unit!$A$3:$B$120,2,FALSE))</f>
        <v>100</v>
      </c>
      <c r="E151">
        <f t="shared" si="4"/>
        <v>100</v>
      </c>
    </row>
    <row r="152" spans="1:5" x14ac:dyDescent="0.2">
      <c r="A152" t="s">
        <v>92</v>
      </c>
      <c r="B152" t="s">
        <v>137</v>
      </c>
      <c r="C152">
        <v>1</v>
      </c>
      <c r="D152">
        <f>IF(C152="","",VLOOKUP(A152,unit!$A$3:$B$120,2,FALSE))</f>
        <v>100</v>
      </c>
      <c r="E152">
        <f t="shared" si="4"/>
        <v>100</v>
      </c>
    </row>
    <row r="153" spans="1:5" x14ac:dyDescent="0.2">
      <c r="A153" t="s">
        <v>93</v>
      </c>
      <c r="B153" t="s">
        <v>126</v>
      </c>
      <c r="C153">
        <v>1</v>
      </c>
      <c r="D153">
        <f>IF(C153="","",VLOOKUP(A153,unit!$A$3:$B$120,2,FALSE))</f>
        <v>100</v>
      </c>
      <c r="E153">
        <f t="shared" si="4"/>
        <v>100</v>
      </c>
    </row>
    <row r="154" spans="1:5" x14ac:dyDescent="0.2">
      <c r="A154" t="s">
        <v>94</v>
      </c>
      <c r="B154" t="s">
        <v>94</v>
      </c>
      <c r="D154" t="str">
        <f>IF(C154="","",VLOOKUP(A154,unit!$A$3:$B$120,2,FALSE))</f>
        <v/>
      </c>
      <c r="E154" t="str">
        <f t="shared" si="4"/>
        <v/>
      </c>
    </row>
    <row r="155" spans="1:5" x14ac:dyDescent="0.2">
      <c r="A155" t="s">
        <v>94</v>
      </c>
      <c r="B155" t="s">
        <v>138</v>
      </c>
      <c r="C155">
        <v>200</v>
      </c>
      <c r="D155">
        <f>IF(C155="","",VLOOKUP(A155,unit!$A$3:$B$120,2,FALSE))</f>
        <v>1</v>
      </c>
      <c r="E155">
        <f t="shared" si="4"/>
        <v>200</v>
      </c>
    </row>
    <row r="156" spans="1:5" x14ac:dyDescent="0.2">
      <c r="A156" t="s">
        <v>95</v>
      </c>
      <c r="B156" t="s">
        <v>95</v>
      </c>
      <c r="D156" t="str">
        <f>IF(C156="","",VLOOKUP(A156,unit!$A$3:$B$120,2,FALSE))</f>
        <v/>
      </c>
      <c r="E156" t="str">
        <f t="shared" si="4"/>
        <v/>
      </c>
    </row>
    <row r="157" spans="1:5" x14ac:dyDescent="0.2">
      <c r="A157" t="s">
        <v>95</v>
      </c>
      <c r="B157" t="s">
        <v>139</v>
      </c>
      <c r="C157">
        <v>200</v>
      </c>
      <c r="D157">
        <f>IF(C157="","",VLOOKUP(A157,unit!$A$3:$B$120,2,FALSE))</f>
        <v>1</v>
      </c>
      <c r="E157">
        <f t="shared" si="4"/>
        <v>200</v>
      </c>
    </row>
    <row r="158" spans="1:5" x14ac:dyDescent="0.2">
      <c r="A158" t="s">
        <v>96</v>
      </c>
      <c r="B158" t="s">
        <v>96</v>
      </c>
      <c r="D158" t="str">
        <f>IF(C158="","",VLOOKUP(A158,unit!$A$3:$B$120,2,FALSE))</f>
        <v/>
      </c>
      <c r="E158" t="str">
        <f t="shared" si="4"/>
        <v/>
      </c>
    </row>
    <row r="159" spans="1:5" x14ac:dyDescent="0.2">
      <c r="A159" t="s">
        <v>96</v>
      </c>
      <c r="B159" t="s">
        <v>140</v>
      </c>
      <c r="C159">
        <v>200</v>
      </c>
      <c r="D159">
        <f>IF(C159="","",VLOOKUP(A159,unit!$A$3:$B$120,2,FALSE))</f>
        <v>1</v>
      </c>
      <c r="E159">
        <f t="shared" si="4"/>
        <v>200</v>
      </c>
    </row>
    <row r="160" spans="1:5" x14ac:dyDescent="0.2">
      <c r="A160" t="s">
        <v>97</v>
      </c>
      <c r="B160" t="s">
        <v>152</v>
      </c>
      <c r="C160">
        <v>0.01</v>
      </c>
      <c r="D160">
        <f>IF(C160="","",VLOOKUP(A160,unit!$A$3:$B$120,2,FALSE))</f>
        <v>279</v>
      </c>
      <c r="E160">
        <f t="shared" si="4"/>
        <v>2.79</v>
      </c>
    </row>
    <row r="161" spans="1:5" x14ac:dyDescent="0.2">
      <c r="A161" t="s">
        <v>98</v>
      </c>
      <c r="B161" t="s">
        <v>156</v>
      </c>
      <c r="C161">
        <v>0.01</v>
      </c>
      <c r="D161">
        <f>IF(C161="","",VLOOKUP(A161,unit!$A$3:$B$120,2,FALSE))</f>
        <v>530</v>
      </c>
      <c r="E161">
        <f t="shared" si="4"/>
        <v>5.3</v>
      </c>
    </row>
    <row r="162" spans="1:5" x14ac:dyDescent="0.2">
      <c r="A162" t="s">
        <v>99</v>
      </c>
      <c r="B162" t="s">
        <v>160</v>
      </c>
      <c r="C162">
        <v>0.01</v>
      </c>
      <c r="D162">
        <f>IF(C162="","",VLOOKUP(A162,unit!$A$3:$B$120,2,FALSE))</f>
        <v>1714</v>
      </c>
      <c r="E162">
        <f t="shared" si="4"/>
        <v>17.14</v>
      </c>
    </row>
    <row r="163" spans="1:5" x14ac:dyDescent="0.2">
      <c r="A163" t="s">
        <v>100</v>
      </c>
      <c r="B163" t="s">
        <v>150</v>
      </c>
      <c r="C163">
        <v>0.03</v>
      </c>
      <c r="D163">
        <f>IF(C163="","",VLOOKUP(A163,unit!$A$3:$B$120,2,FALSE))</f>
        <v>44</v>
      </c>
      <c r="E163">
        <f t="shared" si="4"/>
        <v>1.3199999999999998</v>
      </c>
    </row>
    <row r="164" spans="1:5" x14ac:dyDescent="0.2">
      <c r="A164" t="s">
        <v>101</v>
      </c>
      <c r="B164" t="s">
        <v>154</v>
      </c>
      <c r="C164">
        <v>0.03</v>
      </c>
      <c r="D164">
        <f>IF(C164="","",VLOOKUP(A164,unit!$A$3:$B$120,2,FALSE))</f>
        <v>71</v>
      </c>
      <c r="E164">
        <f t="shared" ref="E164:E195" si="5">IF(C164&lt;&gt;"",C164*D164,"")</f>
        <v>2.13</v>
      </c>
    </row>
    <row r="165" spans="1:5" x14ac:dyDescent="0.2">
      <c r="A165" t="s">
        <v>102</v>
      </c>
      <c r="B165" t="s">
        <v>158</v>
      </c>
      <c r="C165">
        <v>0.03</v>
      </c>
      <c r="D165">
        <f>IF(C165="","",VLOOKUP(A165,unit!$A$3:$B$120,2,FALSE))</f>
        <v>537</v>
      </c>
      <c r="E165">
        <f t="shared" si="5"/>
        <v>16.11</v>
      </c>
    </row>
    <row r="166" spans="1:5" x14ac:dyDescent="0.2">
      <c r="A166" t="s">
        <v>103</v>
      </c>
      <c r="B166" t="s">
        <v>150</v>
      </c>
      <c r="C166">
        <v>0.02</v>
      </c>
      <c r="D166">
        <f>IF(C166="","",VLOOKUP(A166,unit!$A$3:$B$120,2,FALSE))</f>
        <v>44</v>
      </c>
      <c r="E166">
        <f t="shared" si="5"/>
        <v>0.88</v>
      </c>
    </row>
    <row r="167" spans="1:5" x14ac:dyDescent="0.2">
      <c r="A167" t="s">
        <v>103</v>
      </c>
      <c r="B167" t="s">
        <v>151</v>
      </c>
      <c r="D167" t="str">
        <f>IF(C167="","",VLOOKUP(A167,unit!$A$3:$B$120,2,FALSE))</f>
        <v/>
      </c>
      <c r="E167" t="str">
        <f t="shared" si="5"/>
        <v/>
      </c>
    </row>
    <row r="168" spans="1:5" x14ac:dyDescent="0.2">
      <c r="A168" t="s">
        <v>104</v>
      </c>
      <c r="B168" t="s">
        <v>152</v>
      </c>
      <c r="C168">
        <v>0.5</v>
      </c>
      <c r="D168">
        <f>IF(C168="","",VLOOKUP(A168,unit!$A$3:$B$120,2,FALSE))</f>
        <v>279</v>
      </c>
      <c r="E168">
        <f t="shared" si="5"/>
        <v>139.5</v>
      </c>
    </row>
    <row r="169" spans="1:5" x14ac:dyDescent="0.2">
      <c r="A169" t="s">
        <v>104</v>
      </c>
      <c r="B169" t="s">
        <v>153</v>
      </c>
      <c r="D169" t="str">
        <f>IF(C169="","",VLOOKUP(A169,unit!$A$3:$B$120,2,FALSE))</f>
        <v/>
      </c>
      <c r="E169" t="str">
        <f t="shared" si="5"/>
        <v/>
      </c>
    </row>
    <row r="170" spans="1:5" x14ac:dyDescent="0.2">
      <c r="A170" t="s">
        <v>105</v>
      </c>
      <c r="B170" t="s">
        <v>154</v>
      </c>
      <c r="C170">
        <v>0.5</v>
      </c>
      <c r="D170">
        <f>IF(C170="","",VLOOKUP(A170,unit!$A$3:$B$120,2,FALSE))</f>
        <v>71</v>
      </c>
      <c r="E170">
        <f t="shared" si="5"/>
        <v>35.5</v>
      </c>
    </row>
    <row r="171" spans="1:5" x14ac:dyDescent="0.2">
      <c r="A171" t="s">
        <v>105</v>
      </c>
      <c r="B171" t="s">
        <v>155</v>
      </c>
      <c r="D171" t="str">
        <f>IF(C171="","",VLOOKUP(A171,unit!$A$3:$B$120,2,FALSE))</f>
        <v/>
      </c>
      <c r="E171" t="str">
        <f t="shared" si="5"/>
        <v/>
      </c>
    </row>
    <row r="172" spans="1:5" x14ac:dyDescent="0.2">
      <c r="A172" t="s">
        <v>106</v>
      </c>
      <c r="B172" t="s">
        <v>156</v>
      </c>
      <c r="C172">
        <v>0.5</v>
      </c>
      <c r="D172">
        <f>IF(C172="","",VLOOKUP(A172,unit!$A$3:$B$120,2,FALSE))</f>
        <v>530</v>
      </c>
      <c r="E172">
        <f t="shared" si="5"/>
        <v>265</v>
      </c>
    </row>
    <row r="173" spans="1:5" x14ac:dyDescent="0.2">
      <c r="A173" t="s">
        <v>106</v>
      </c>
      <c r="B173" t="s">
        <v>157</v>
      </c>
      <c r="D173" t="str">
        <f>IF(C173="","",VLOOKUP(A173,unit!$A$3:$B$120,2,FALSE))</f>
        <v/>
      </c>
      <c r="E173" t="str">
        <f t="shared" si="5"/>
        <v/>
      </c>
    </row>
    <row r="174" spans="1:5" x14ac:dyDescent="0.2">
      <c r="A174" t="s">
        <v>107</v>
      </c>
      <c r="B174" t="s">
        <v>158</v>
      </c>
      <c r="C174">
        <v>0.5</v>
      </c>
      <c r="D174">
        <f>IF(C174="","",VLOOKUP(A174,unit!$A$3:$B$120,2,FALSE))</f>
        <v>537</v>
      </c>
      <c r="E174">
        <f t="shared" si="5"/>
        <v>268.5</v>
      </c>
    </row>
    <row r="175" spans="1:5" x14ac:dyDescent="0.2">
      <c r="A175" t="s">
        <v>107</v>
      </c>
      <c r="B175" t="s">
        <v>159</v>
      </c>
      <c r="D175" t="str">
        <f>IF(C175="","",VLOOKUP(A175,unit!$A$3:$B$120,2,FALSE))</f>
        <v/>
      </c>
      <c r="E175" t="str">
        <f t="shared" si="5"/>
        <v/>
      </c>
    </row>
    <row r="176" spans="1:5" x14ac:dyDescent="0.2">
      <c r="A176" t="s">
        <v>108</v>
      </c>
      <c r="B176" t="s">
        <v>160</v>
      </c>
      <c r="C176">
        <v>0.5</v>
      </c>
      <c r="D176">
        <f>IF(C176="","",VLOOKUP(A176,unit!$A$3:$B$120,2,FALSE))</f>
        <v>1714</v>
      </c>
      <c r="E176">
        <f t="shared" si="5"/>
        <v>857</v>
      </c>
    </row>
    <row r="177" spans="1:5" x14ac:dyDescent="0.2">
      <c r="A177" t="s">
        <v>108</v>
      </c>
      <c r="B177" t="s">
        <v>161</v>
      </c>
      <c r="D177" t="str">
        <f>IF(C177="","",VLOOKUP(A177,unit!$A$3:$B$120,2,FALSE))</f>
        <v/>
      </c>
      <c r="E177" t="str">
        <f t="shared" si="5"/>
        <v/>
      </c>
    </row>
    <row r="178" spans="1:5" x14ac:dyDescent="0.2">
      <c r="A178" t="s">
        <v>109</v>
      </c>
      <c r="B178" t="s">
        <v>136</v>
      </c>
      <c r="C178">
        <v>3.3</v>
      </c>
      <c r="D178">
        <f>IF(C178="","",VLOOKUP(A178,unit!$A$3:$B$120,2,FALSE))</f>
        <v>1</v>
      </c>
      <c r="E178">
        <f t="shared" si="5"/>
        <v>3.3</v>
      </c>
    </row>
    <row r="179" spans="1:5" x14ac:dyDescent="0.2">
      <c r="A179" t="s">
        <v>110</v>
      </c>
      <c r="B179" t="s">
        <v>137</v>
      </c>
      <c r="C179">
        <v>3.3</v>
      </c>
      <c r="D179">
        <f>IF(C179="","",VLOOKUP(A179,unit!$A$3:$B$120,2,FALSE))</f>
        <v>1</v>
      </c>
      <c r="E179">
        <f t="shared" si="5"/>
        <v>3.3</v>
      </c>
    </row>
    <row r="180" spans="1:5" x14ac:dyDescent="0.2">
      <c r="A180" t="s">
        <v>111</v>
      </c>
      <c r="B180" t="s">
        <v>126</v>
      </c>
      <c r="C180">
        <v>3.3</v>
      </c>
      <c r="D180">
        <f>IF(C180="","",VLOOKUP(A180,unit!$A$3:$B$120,2,FALSE))</f>
        <v>1</v>
      </c>
      <c r="E180">
        <f t="shared" si="5"/>
        <v>3.3</v>
      </c>
    </row>
    <row r="181" spans="1:5" x14ac:dyDescent="0.2">
      <c r="A181" t="s">
        <v>112</v>
      </c>
      <c r="B181" t="s">
        <v>126</v>
      </c>
      <c r="C181">
        <v>3.3</v>
      </c>
      <c r="D181">
        <f>IF(C181="","",VLOOKUP(A181,unit!$A$3:$B$120,2,FALSE))</f>
        <v>1</v>
      </c>
      <c r="E181">
        <f t="shared" si="5"/>
        <v>3.3</v>
      </c>
    </row>
    <row r="182" spans="1:5" x14ac:dyDescent="0.2">
      <c r="A182" t="s">
        <v>113</v>
      </c>
      <c r="B182" t="s">
        <v>125</v>
      </c>
      <c r="D182" t="str">
        <f>IF(C182="","",VLOOKUP(A182,unit!$A$3:$B$120,2,FALSE))</f>
        <v/>
      </c>
      <c r="E182" t="str">
        <f t="shared" si="5"/>
        <v/>
      </c>
    </row>
    <row r="183" spans="1:5" x14ac:dyDescent="0.2">
      <c r="A183" t="s">
        <v>113</v>
      </c>
      <c r="B183" t="s">
        <v>141</v>
      </c>
      <c r="C183">
        <v>0.08</v>
      </c>
      <c r="D183">
        <f>IF(C183="","",VLOOKUP(A183,unit!$A$3:$B$120,2,FALSE))</f>
        <v>44</v>
      </c>
      <c r="E183">
        <f t="shared" si="5"/>
        <v>3.52</v>
      </c>
    </row>
    <row r="184" spans="1:5" x14ac:dyDescent="0.2">
      <c r="A184" t="s">
        <v>114</v>
      </c>
      <c r="B184" t="s">
        <v>125</v>
      </c>
      <c r="D184" t="str">
        <f>IF(C184="","",VLOOKUP(A184,unit!$A$3:$B$120,2,FALSE))</f>
        <v/>
      </c>
      <c r="E184" t="str">
        <f t="shared" si="5"/>
        <v/>
      </c>
    </row>
    <row r="185" spans="1:5" x14ac:dyDescent="0.2">
      <c r="A185" t="s">
        <v>114</v>
      </c>
      <c r="B185" t="s">
        <v>143</v>
      </c>
      <c r="C185">
        <v>0.08</v>
      </c>
      <c r="D185">
        <f>IF(C185="","",VLOOKUP(A185,unit!$A$3:$B$120,2,FALSE))</f>
        <v>71</v>
      </c>
      <c r="E185">
        <f t="shared" si="5"/>
        <v>5.68</v>
      </c>
    </row>
    <row r="186" spans="1:5" x14ac:dyDescent="0.2">
      <c r="A186" t="s">
        <v>115</v>
      </c>
      <c r="B186" t="s">
        <v>125</v>
      </c>
      <c r="D186" t="str">
        <f>IF(C186="","",VLOOKUP(A186,unit!$A$3:$B$120,2,FALSE))</f>
        <v/>
      </c>
      <c r="E186" t="str">
        <f t="shared" si="5"/>
        <v/>
      </c>
    </row>
    <row r="187" spans="1:5" x14ac:dyDescent="0.2">
      <c r="A187" t="s">
        <v>115</v>
      </c>
      <c r="B187" t="s">
        <v>145</v>
      </c>
      <c r="C187">
        <v>0.08</v>
      </c>
      <c r="D187">
        <f>IF(C187="","",VLOOKUP(A187,unit!$A$3:$B$120,2,FALSE))</f>
        <v>537</v>
      </c>
      <c r="E187">
        <f t="shared" si="5"/>
        <v>42.96</v>
      </c>
    </row>
    <row r="188" spans="1:5" x14ac:dyDescent="0.2">
      <c r="A188" t="s">
        <v>116</v>
      </c>
      <c r="B188" t="s">
        <v>125</v>
      </c>
      <c r="D188" t="str">
        <f>IF(C188="","",VLOOKUP(A188,unit!$A$3:$B$120,2,FALSE))</f>
        <v/>
      </c>
      <c r="E188" t="str">
        <f t="shared" si="5"/>
        <v/>
      </c>
    </row>
    <row r="189" spans="1:5" x14ac:dyDescent="0.2">
      <c r="A189" t="s">
        <v>116</v>
      </c>
      <c r="B189" t="s">
        <v>142</v>
      </c>
      <c r="C189">
        <v>1.7000000000000001E-2</v>
      </c>
      <c r="D189">
        <f>IF(C189="","",VLOOKUP(A189,unit!$A$3:$B$120,2,FALSE))</f>
        <v>279</v>
      </c>
      <c r="E189">
        <f t="shared" si="5"/>
        <v>4.7430000000000003</v>
      </c>
    </row>
    <row r="190" spans="1:5" x14ac:dyDescent="0.2">
      <c r="A190" t="s">
        <v>117</v>
      </c>
      <c r="B190" t="s">
        <v>125</v>
      </c>
      <c r="D190" t="str">
        <f>IF(C190="","",VLOOKUP(A190,unit!$A$3:$B$120,2,FALSE))</f>
        <v/>
      </c>
      <c r="E190" t="str">
        <f t="shared" si="5"/>
        <v/>
      </c>
    </row>
    <row r="191" spans="1:5" x14ac:dyDescent="0.2">
      <c r="A191" t="s">
        <v>117</v>
      </c>
      <c r="B191" t="s">
        <v>144</v>
      </c>
      <c r="C191">
        <v>1.7000000000000001E-2</v>
      </c>
      <c r="D191">
        <f>IF(C191="","",VLOOKUP(A191,unit!$A$3:$B$120,2,FALSE))</f>
        <v>530</v>
      </c>
      <c r="E191">
        <f t="shared" si="5"/>
        <v>9.01</v>
      </c>
    </row>
    <row r="192" spans="1:5" x14ac:dyDescent="0.2">
      <c r="A192" t="s">
        <v>118</v>
      </c>
      <c r="B192" t="s">
        <v>125</v>
      </c>
      <c r="D192" t="str">
        <f>IF(C192="","",VLOOKUP(A192,unit!$A$3:$B$120,2,FALSE))</f>
        <v/>
      </c>
      <c r="E192" t="str">
        <f t="shared" si="5"/>
        <v/>
      </c>
    </row>
    <row r="193" spans="1:5" x14ac:dyDescent="0.2">
      <c r="A193" t="s">
        <v>118</v>
      </c>
      <c r="B193" t="s">
        <v>146</v>
      </c>
      <c r="C193">
        <v>1.7000000000000001E-2</v>
      </c>
      <c r="D193">
        <f>IF(C193="","",VLOOKUP(A193,unit!$A$3:$B$120,2,FALSE))</f>
        <v>1714</v>
      </c>
      <c r="E193">
        <f t="shared" si="5"/>
        <v>29.138000000000002</v>
      </c>
    </row>
    <row r="194" spans="1:5" x14ac:dyDescent="0.2">
      <c r="A194" t="s">
        <v>119</v>
      </c>
      <c r="B194" t="s">
        <v>125</v>
      </c>
      <c r="D194" t="str">
        <f>IF(C194="","",VLOOKUP(A194,unit!$A$3:$B$120,2,FALSE))</f>
        <v/>
      </c>
      <c r="E194" t="str">
        <f t="shared" si="5"/>
        <v/>
      </c>
    </row>
    <row r="195" spans="1:5" x14ac:dyDescent="0.2">
      <c r="A195" t="s">
        <v>119</v>
      </c>
      <c r="B195" t="s">
        <v>136</v>
      </c>
      <c r="C195">
        <v>25</v>
      </c>
      <c r="D195">
        <f>IF(C195="","",VLOOKUP(A195,unit!$A$3:$B$120,2,FALSE))</f>
        <v>4</v>
      </c>
      <c r="E195">
        <f t="shared" si="5"/>
        <v>100</v>
      </c>
    </row>
    <row r="196" spans="1:5" x14ac:dyDescent="0.2">
      <c r="A196" t="s">
        <v>119</v>
      </c>
      <c r="B196" t="s">
        <v>138</v>
      </c>
      <c r="C196">
        <v>25</v>
      </c>
      <c r="D196">
        <f>IF(C196="","",VLOOKUP(A196,unit!$A$3:$B$120,2,FALSE))</f>
        <v>4</v>
      </c>
      <c r="E196">
        <f t="shared" ref="E196:E202" si="6">IF(C196&lt;&gt;"",C196*D196,"")</f>
        <v>100</v>
      </c>
    </row>
    <row r="197" spans="1:5" x14ac:dyDescent="0.2">
      <c r="A197" t="s">
        <v>120</v>
      </c>
      <c r="B197" t="s">
        <v>125</v>
      </c>
      <c r="D197" t="str">
        <f>IF(C197="","",VLOOKUP(A197,unit!$A$3:$B$120,2,FALSE))</f>
        <v/>
      </c>
      <c r="E197" t="str">
        <f t="shared" si="6"/>
        <v/>
      </c>
    </row>
    <row r="198" spans="1:5" x14ac:dyDescent="0.2">
      <c r="A198" t="s">
        <v>120</v>
      </c>
      <c r="B198" t="s">
        <v>137</v>
      </c>
      <c r="C198">
        <v>25</v>
      </c>
      <c r="D198">
        <f>IF(C198="","",VLOOKUP(A198,unit!$A$3:$B$120,2,FALSE))</f>
        <v>4</v>
      </c>
      <c r="E198">
        <f t="shared" si="6"/>
        <v>100</v>
      </c>
    </row>
    <row r="199" spans="1:5" x14ac:dyDescent="0.2">
      <c r="A199" t="s">
        <v>120</v>
      </c>
      <c r="B199" t="s">
        <v>139</v>
      </c>
      <c r="C199">
        <v>25</v>
      </c>
      <c r="D199">
        <f>IF(C199="","",VLOOKUP(A199,unit!$A$3:$B$120,2,FALSE))</f>
        <v>4</v>
      </c>
      <c r="E199">
        <f t="shared" si="6"/>
        <v>100</v>
      </c>
    </row>
    <row r="200" spans="1:5" x14ac:dyDescent="0.2">
      <c r="A200" t="s">
        <v>121</v>
      </c>
      <c r="B200" t="s">
        <v>125</v>
      </c>
      <c r="D200" t="str">
        <f>IF(C200="","",VLOOKUP(A200,unit!$A$3:$B$120,2,FALSE))</f>
        <v/>
      </c>
      <c r="E200" t="str">
        <f t="shared" si="6"/>
        <v/>
      </c>
    </row>
    <row r="201" spans="1:5" x14ac:dyDescent="0.2">
      <c r="A201" t="s">
        <v>121</v>
      </c>
      <c r="B201" t="s">
        <v>126</v>
      </c>
      <c r="C201">
        <v>25</v>
      </c>
      <c r="D201">
        <f>IF(C201="","",VLOOKUP(A201,unit!$A$3:$B$120,2,FALSE))</f>
        <v>4</v>
      </c>
      <c r="E201">
        <f t="shared" si="6"/>
        <v>100</v>
      </c>
    </row>
    <row r="202" spans="1:5" x14ac:dyDescent="0.2">
      <c r="A202" t="s">
        <v>121</v>
      </c>
      <c r="B202" t="s">
        <v>140</v>
      </c>
      <c r="C202">
        <v>25</v>
      </c>
      <c r="D202">
        <f>IF(C202="","",VLOOKUP(A202,unit!$A$3:$B$120,2,FALSE))</f>
        <v>4</v>
      </c>
      <c r="E202">
        <f t="shared" si="6"/>
        <v>100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zoomScale="130" zoomScaleNormal="130" workbookViewId="0">
      <selection activeCell="F1" sqref="F1:F1048576"/>
    </sheetView>
  </sheetViews>
  <sheetFormatPr defaultColWidth="11.5703125" defaultRowHeight="12.75" x14ac:dyDescent="0.2"/>
  <cols>
    <col min="1" max="1" width="56.85546875" customWidth="1"/>
    <col min="2" max="2" width="17.42578125" bestFit="1" customWidth="1"/>
    <col min="3" max="3" width="14.28515625" bestFit="1" customWidth="1"/>
    <col min="4" max="4" width="23.5703125" bestFit="1" customWidth="1"/>
    <col min="5" max="5" width="20.42578125" bestFit="1" customWidth="1"/>
  </cols>
  <sheetData>
    <row r="1" spans="1:6" x14ac:dyDescent="0.2">
      <c r="A1" s="2" t="s">
        <v>0</v>
      </c>
      <c r="B1" t="s">
        <v>162</v>
      </c>
      <c r="C1" t="s">
        <v>163</v>
      </c>
      <c r="D1" s="1" t="s">
        <v>199</v>
      </c>
      <c r="E1" t="s">
        <v>164</v>
      </c>
      <c r="F1" t="s">
        <v>203</v>
      </c>
    </row>
    <row r="2" spans="1:6" x14ac:dyDescent="0.2">
      <c r="A2" t="s">
        <v>124</v>
      </c>
    </row>
    <row r="3" spans="1:6" x14ac:dyDescent="0.2">
      <c r="A3" t="s">
        <v>22</v>
      </c>
      <c r="B3">
        <v>1</v>
      </c>
      <c r="C3">
        <v>150000</v>
      </c>
      <c r="D3">
        <v>1</v>
      </c>
      <c r="E3">
        <f t="shared" ref="E3:E14" si="0">B3*C3</f>
        <v>150000</v>
      </c>
      <c r="F3" t="s">
        <v>202</v>
      </c>
    </row>
    <row r="4" spans="1:6" x14ac:dyDescent="0.2">
      <c r="A4" t="s">
        <v>23</v>
      </c>
      <c r="B4">
        <v>1</v>
      </c>
      <c r="C4">
        <v>150000</v>
      </c>
      <c r="D4">
        <v>1</v>
      </c>
      <c r="E4">
        <f t="shared" si="0"/>
        <v>150000</v>
      </c>
      <c r="F4" t="s">
        <v>202</v>
      </c>
    </row>
    <row r="5" spans="1:6" x14ac:dyDescent="0.2">
      <c r="A5" t="s">
        <v>24</v>
      </c>
      <c r="B5">
        <v>1</v>
      </c>
      <c r="C5">
        <v>150000</v>
      </c>
      <c r="D5">
        <v>1</v>
      </c>
      <c r="E5">
        <f t="shared" si="0"/>
        <v>150000</v>
      </c>
      <c r="F5" t="s">
        <v>202</v>
      </c>
    </row>
    <row r="6" spans="1:6" x14ac:dyDescent="0.2">
      <c r="A6" t="s">
        <v>31</v>
      </c>
      <c r="B6">
        <v>44</v>
      </c>
      <c r="C6">
        <v>7</v>
      </c>
      <c r="D6">
        <v>1</v>
      </c>
      <c r="E6">
        <f t="shared" si="0"/>
        <v>308</v>
      </c>
      <c r="F6" t="s">
        <v>202</v>
      </c>
    </row>
    <row r="7" spans="1:6" x14ac:dyDescent="0.2">
      <c r="A7" t="s">
        <v>32</v>
      </c>
      <c r="B7">
        <v>279</v>
      </c>
      <c r="C7">
        <v>7</v>
      </c>
      <c r="D7">
        <v>1</v>
      </c>
      <c r="E7">
        <f t="shared" si="0"/>
        <v>1953</v>
      </c>
      <c r="F7" t="s">
        <v>202</v>
      </c>
    </row>
    <row r="8" spans="1:6" x14ac:dyDescent="0.2">
      <c r="A8" t="s">
        <v>33</v>
      </c>
      <c r="B8">
        <v>71</v>
      </c>
      <c r="C8">
        <v>7</v>
      </c>
      <c r="D8">
        <v>1</v>
      </c>
      <c r="E8">
        <f t="shared" si="0"/>
        <v>497</v>
      </c>
      <c r="F8" t="s">
        <v>202</v>
      </c>
    </row>
    <row r="9" spans="1:6" x14ac:dyDescent="0.2">
      <c r="A9" t="s">
        <v>34</v>
      </c>
      <c r="B9">
        <v>530</v>
      </c>
      <c r="C9">
        <v>7</v>
      </c>
      <c r="D9">
        <v>1</v>
      </c>
      <c r="E9">
        <f t="shared" si="0"/>
        <v>3710</v>
      </c>
      <c r="F9" t="s">
        <v>202</v>
      </c>
    </row>
    <row r="10" spans="1:6" x14ac:dyDescent="0.2">
      <c r="A10" t="s">
        <v>35</v>
      </c>
      <c r="B10">
        <v>537</v>
      </c>
      <c r="C10">
        <v>7</v>
      </c>
      <c r="D10">
        <v>1</v>
      </c>
      <c r="E10">
        <f t="shared" si="0"/>
        <v>3759</v>
      </c>
      <c r="F10" t="s">
        <v>202</v>
      </c>
    </row>
    <row r="11" spans="1:6" x14ac:dyDescent="0.2">
      <c r="A11" t="s">
        <v>36</v>
      </c>
      <c r="B11">
        <v>1714</v>
      </c>
      <c r="C11">
        <v>7</v>
      </c>
      <c r="D11">
        <v>1</v>
      </c>
      <c r="E11">
        <f t="shared" si="0"/>
        <v>11998</v>
      </c>
      <c r="F11" t="s">
        <v>202</v>
      </c>
    </row>
    <row r="12" spans="1:6" x14ac:dyDescent="0.2">
      <c r="A12" t="s">
        <v>37</v>
      </c>
      <c r="B12">
        <v>60</v>
      </c>
      <c r="C12">
        <v>16.7</v>
      </c>
      <c r="D12">
        <v>1</v>
      </c>
      <c r="E12">
        <f t="shared" si="0"/>
        <v>1002</v>
      </c>
      <c r="F12" t="s">
        <v>202</v>
      </c>
    </row>
    <row r="13" spans="1:6" x14ac:dyDescent="0.2">
      <c r="A13" t="s">
        <v>38</v>
      </c>
      <c r="B13">
        <v>60</v>
      </c>
      <c r="C13">
        <v>16.7</v>
      </c>
      <c r="D13">
        <v>1</v>
      </c>
      <c r="E13">
        <f t="shared" si="0"/>
        <v>1002</v>
      </c>
      <c r="F13" t="s">
        <v>202</v>
      </c>
    </row>
    <row r="14" spans="1:6" x14ac:dyDescent="0.2">
      <c r="A14" t="s">
        <v>39</v>
      </c>
      <c r="B14">
        <v>60</v>
      </c>
      <c r="C14">
        <v>16.7</v>
      </c>
      <c r="D14">
        <v>1</v>
      </c>
      <c r="E14">
        <f t="shared" si="0"/>
        <v>1002</v>
      </c>
      <c r="F14" t="s">
        <v>202</v>
      </c>
    </row>
    <row r="15" spans="1:6" x14ac:dyDescent="0.2">
      <c r="A15" t="s">
        <v>67</v>
      </c>
      <c r="B15">
        <v>6</v>
      </c>
      <c r="C15">
        <v>175</v>
      </c>
      <c r="D15">
        <v>1</v>
      </c>
      <c r="E15">
        <f t="shared" ref="E15:E23" si="1">B15*C15</f>
        <v>1050</v>
      </c>
      <c r="F15" t="s">
        <v>202</v>
      </c>
    </row>
    <row r="16" spans="1:6" x14ac:dyDescent="0.2">
      <c r="A16" t="s">
        <v>68</v>
      </c>
      <c r="B16">
        <v>6</v>
      </c>
      <c r="C16">
        <v>175</v>
      </c>
      <c r="D16">
        <v>1</v>
      </c>
      <c r="E16">
        <f t="shared" si="1"/>
        <v>1050</v>
      </c>
      <c r="F16" t="s">
        <v>202</v>
      </c>
    </row>
    <row r="17" spans="1:6" x14ac:dyDescent="0.2">
      <c r="A17" t="s">
        <v>69</v>
      </c>
      <c r="B17">
        <v>6</v>
      </c>
      <c r="C17">
        <v>175</v>
      </c>
      <c r="D17">
        <v>1</v>
      </c>
      <c r="E17">
        <f t="shared" si="1"/>
        <v>1050</v>
      </c>
      <c r="F17" t="s">
        <v>202</v>
      </c>
    </row>
    <row r="18" spans="1:6" x14ac:dyDescent="0.2">
      <c r="A18" t="s">
        <v>70</v>
      </c>
      <c r="B18">
        <v>44</v>
      </c>
      <c r="C18">
        <v>3.0000000000000001E-3</v>
      </c>
      <c r="D18">
        <v>1</v>
      </c>
      <c r="E18">
        <f t="shared" si="1"/>
        <v>0.13200000000000001</v>
      </c>
      <c r="F18" t="s">
        <v>202</v>
      </c>
    </row>
    <row r="19" spans="1:6" x14ac:dyDescent="0.2">
      <c r="A19" t="s">
        <v>71</v>
      </c>
      <c r="B19">
        <v>279</v>
      </c>
      <c r="C19">
        <v>3.0000000000000001E-3</v>
      </c>
      <c r="D19">
        <v>1</v>
      </c>
      <c r="E19">
        <f t="shared" si="1"/>
        <v>0.83699999999999997</v>
      </c>
      <c r="F19" t="s">
        <v>202</v>
      </c>
    </row>
    <row r="20" spans="1:6" x14ac:dyDescent="0.2">
      <c r="A20" t="s">
        <v>72</v>
      </c>
      <c r="B20">
        <v>71</v>
      </c>
      <c r="C20">
        <v>3.0000000000000001E-3</v>
      </c>
      <c r="D20">
        <v>1</v>
      </c>
      <c r="E20">
        <f t="shared" si="1"/>
        <v>0.21299999999999999</v>
      </c>
      <c r="F20" t="s">
        <v>202</v>
      </c>
    </row>
    <row r="21" spans="1:6" x14ac:dyDescent="0.2">
      <c r="A21" t="s">
        <v>73</v>
      </c>
      <c r="B21">
        <v>530</v>
      </c>
      <c r="C21">
        <v>3.0000000000000001E-3</v>
      </c>
      <c r="D21">
        <v>1</v>
      </c>
      <c r="E21">
        <f t="shared" si="1"/>
        <v>1.59</v>
      </c>
      <c r="F21" t="s">
        <v>202</v>
      </c>
    </row>
    <row r="22" spans="1:6" x14ac:dyDescent="0.2">
      <c r="A22" t="s">
        <v>74</v>
      </c>
      <c r="B22">
        <v>537</v>
      </c>
      <c r="C22">
        <v>3.0000000000000001E-3</v>
      </c>
      <c r="D22">
        <v>1</v>
      </c>
      <c r="E22">
        <f t="shared" si="1"/>
        <v>1.611</v>
      </c>
      <c r="F22" t="s">
        <v>202</v>
      </c>
    </row>
    <row r="23" spans="1:6" x14ac:dyDescent="0.2">
      <c r="A23" t="s">
        <v>75</v>
      </c>
      <c r="B23">
        <v>1714</v>
      </c>
      <c r="C23">
        <v>3.0000000000000001E-3</v>
      </c>
      <c r="D23">
        <v>1</v>
      </c>
      <c r="E23">
        <f t="shared" si="1"/>
        <v>5.1420000000000003</v>
      </c>
      <c r="F23" t="s">
        <v>202</v>
      </c>
    </row>
    <row r="24" spans="1:6" x14ac:dyDescent="0.2">
      <c r="A24" t="s">
        <v>147</v>
      </c>
      <c r="B24">
        <v>213</v>
      </c>
      <c r="C24">
        <v>4.7</v>
      </c>
      <c r="D24">
        <v>1</v>
      </c>
      <c r="E24">
        <f t="shared" ref="E24:E35" si="2">B24*C24</f>
        <v>1001.1</v>
      </c>
      <c r="F24" t="s">
        <v>202</v>
      </c>
    </row>
    <row r="25" spans="1:6" x14ac:dyDescent="0.2">
      <c r="A25" t="s">
        <v>148</v>
      </c>
      <c r="B25">
        <v>213</v>
      </c>
      <c r="C25">
        <v>4.7</v>
      </c>
      <c r="D25">
        <v>1</v>
      </c>
      <c r="E25">
        <f t="shared" si="2"/>
        <v>1001.1</v>
      </c>
      <c r="F25" t="s">
        <v>202</v>
      </c>
    </row>
    <row r="26" spans="1:6" x14ac:dyDescent="0.2">
      <c r="A26" t="s">
        <v>149</v>
      </c>
      <c r="B26">
        <v>213</v>
      </c>
      <c r="C26">
        <v>4.7</v>
      </c>
      <c r="D26">
        <v>1</v>
      </c>
      <c r="E26">
        <f t="shared" si="2"/>
        <v>1001.1</v>
      </c>
      <c r="F26" t="s">
        <v>202</v>
      </c>
    </row>
    <row r="27" spans="1:6" x14ac:dyDescent="0.2">
      <c r="A27" t="s">
        <v>79</v>
      </c>
      <c r="B27">
        <v>4</v>
      </c>
      <c r="C27">
        <v>300</v>
      </c>
      <c r="D27">
        <v>1</v>
      </c>
      <c r="E27">
        <f t="shared" si="2"/>
        <v>1200</v>
      </c>
      <c r="F27" t="s">
        <v>202</v>
      </c>
    </row>
    <row r="28" spans="1:6" x14ac:dyDescent="0.2">
      <c r="A28" t="s">
        <v>80</v>
      </c>
      <c r="B28">
        <v>4</v>
      </c>
      <c r="C28">
        <v>300</v>
      </c>
      <c r="D28">
        <v>1</v>
      </c>
      <c r="E28">
        <f t="shared" si="2"/>
        <v>1200</v>
      </c>
      <c r="F28" t="s">
        <v>202</v>
      </c>
    </row>
    <row r="29" spans="1:6" x14ac:dyDescent="0.2">
      <c r="A29" t="s">
        <v>81</v>
      </c>
      <c r="B29">
        <v>4</v>
      </c>
      <c r="C29">
        <v>300</v>
      </c>
      <c r="D29">
        <v>1</v>
      </c>
      <c r="E29">
        <f t="shared" si="2"/>
        <v>1200</v>
      </c>
      <c r="F29" t="s">
        <v>202</v>
      </c>
    </row>
    <row r="30" spans="1:6" x14ac:dyDescent="0.2">
      <c r="A30" t="s">
        <v>82</v>
      </c>
      <c r="B30">
        <v>241</v>
      </c>
      <c r="C30">
        <v>4.1500000000000004</v>
      </c>
      <c r="D30">
        <v>1</v>
      </c>
      <c r="E30">
        <f t="shared" si="2"/>
        <v>1000.1500000000001</v>
      </c>
      <c r="F30" t="s">
        <v>202</v>
      </c>
    </row>
    <row r="31" spans="1:6" x14ac:dyDescent="0.2">
      <c r="A31" t="s">
        <v>83</v>
      </c>
      <c r="B31">
        <v>241</v>
      </c>
      <c r="C31">
        <v>4.1500000000000004</v>
      </c>
      <c r="D31">
        <v>1</v>
      </c>
      <c r="E31">
        <f t="shared" si="2"/>
        <v>1000.1500000000001</v>
      </c>
      <c r="F31" t="s">
        <v>202</v>
      </c>
    </row>
    <row r="32" spans="1:6" x14ac:dyDescent="0.2">
      <c r="A32" t="s">
        <v>84</v>
      </c>
      <c r="B32">
        <v>241</v>
      </c>
      <c r="C32">
        <v>4.1500000000000004</v>
      </c>
      <c r="D32">
        <v>1</v>
      </c>
      <c r="E32">
        <f t="shared" si="2"/>
        <v>1000.1500000000001</v>
      </c>
      <c r="F32" t="s">
        <v>202</v>
      </c>
    </row>
    <row r="33" spans="1:6" x14ac:dyDescent="0.2">
      <c r="A33" t="s">
        <v>94</v>
      </c>
      <c r="B33">
        <v>1</v>
      </c>
      <c r="C33">
        <v>4500</v>
      </c>
      <c r="D33">
        <v>1</v>
      </c>
      <c r="E33">
        <f t="shared" si="2"/>
        <v>4500</v>
      </c>
      <c r="F33" t="s">
        <v>202</v>
      </c>
    </row>
    <row r="34" spans="1:6" x14ac:dyDescent="0.2">
      <c r="A34" t="s">
        <v>95</v>
      </c>
      <c r="B34">
        <v>1</v>
      </c>
      <c r="C34">
        <v>4500</v>
      </c>
      <c r="D34">
        <v>1</v>
      </c>
      <c r="E34">
        <f t="shared" si="2"/>
        <v>4500</v>
      </c>
      <c r="F34" t="s">
        <v>202</v>
      </c>
    </row>
    <row r="35" spans="1:6" x14ac:dyDescent="0.2">
      <c r="A35" t="s">
        <v>96</v>
      </c>
      <c r="B35">
        <v>1</v>
      </c>
      <c r="C35">
        <v>4500</v>
      </c>
      <c r="D35">
        <v>1</v>
      </c>
      <c r="E35">
        <f t="shared" si="2"/>
        <v>4500</v>
      </c>
      <c r="F35" t="s">
        <v>202</v>
      </c>
    </row>
    <row r="36" spans="1:6" x14ac:dyDescent="0.2">
      <c r="A36" t="s">
        <v>151</v>
      </c>
      <c r="B36">
        <v>44</v>
      </c>
      <c r="C36">
        <v>0.65</v>
      </c>
      <c r="D36">
        <v>1</v>
      </c>
      <c r="E36">
        <f t="shared" ref="E36:E41" si="3">B36*C36</f>
        <v>28.6</v>
      </c>
      <c r="F36" t="s">
        <v>202</v>
      </c>
    </row>
    <row r="37" spans="1:6" x14ac:dyDescent="0.2">
      <c r="A37" t="s">
        <v>153</v>
      </c>
      <c r="B37">
        <v>279</v>
      </c>
      <c r="C37">
        <v>0.65</v>
      </c>
      <c r="D37">
        <v>1</v>
      </c>
      <c r="E37">
        <f t="shared" si="3"/>
        <v>181.35</v>
      </c>
      <c r="F37" t="s">
        <v>202</v>
      </c>
    </row>
    <row r="38" spans="1:6" x14ac:dyDescent="0.2">
      <c r="A38" t="s">
        <v>155</v>
      </c>
      <c r="B38">
        <v>71</v>
      </c>
      <c r="C38">
        <v>0.65</v>
      </c>
      <c r="D38">
        <v>1</v>
      </c>
      <c r="E38">
        <f t="shared" si="3"/>
        <v>46.15</v>
      </c>
      <c r="F38" t="s">
        <v>202</v>
      </c>
    </row>
    <row r="39" spans="1:6" x14ac:dyDescent="0.2">
      <c r="A39" t="s">
        <v>157</v>
      </c>
      <c r="B39">
        <v>530</v>
      </c>
      <c r="C39">
        <v>0.65</v>
      </c>
      <c r="D39">
        <v>1</v>
      </c>
      <c r="E39">
        <f t="shared" si="3"/>
        <v>344.5</v>
      </c>
      <c r="F39" t="s">
        <v>202</v>
      </c>
    </row>
    <row r="40" spans="1:6" x14ac:dyDescent="0.2">
      <c r="A40" t="s">
        <v>159</v>
      </c>
      <c r="B40">
        <v>537</v>
      </c>
      <c r="C40">
        <v>0.65</v>
      </c>
      <c r="D40">
        <v>1</v>
      </c>
      <c r="E40">
        <f t="shared" si="3"/>
        <v>349.05</v>
      </c>
      <c r="F40" t="s">
        <v>202</v>
      </c>
    </row>
    <row r="41" spans="1:6" x14ac:dyDescent="0.2">
      <c r="A41" t="s">
        <v>161</v>
      </c>
      <c r="B41">
        <v>1714</v>
      </c>
      <c r="C41">
        <v>0.65</v>
      </c>
      <c r="D41">
        <v>1</v>
      </c>
      <c r="E41">
        <f t="shared" si="3"/>
        <v>1114.1000000000001</v>
      </c>
      <c r="F41" t="s">
        <v>202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</vt:lpstr>
      <vt:lpstr>unit_from_node</vt:lpstr>
      <vt:lpstr>unit_to_node</vt:lpstr>
      <vt:lpstr>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Huang  Jiangyi</cp:lastModifiedBy>
  <cp:revision>1</cp:revision>
  <dcterms:created xsi:type="dcterms:W3CDTF">2026-08-11T11:02:35Z</dcterms:created>
  <dcterms:modified xsi:type="dcterms:W3CDTF">2026-10-12T15:11:31Z</dcterms:modified>
  <dc:language>en-US</dc:language>
</cp:coreProperties>
</file>