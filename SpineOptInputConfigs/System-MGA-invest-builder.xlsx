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ethz-my.sharepoint.com/personal/jiahuang_ethz_ch/Documents/Desktop/ESA D-MAVT/PhD research/ModellingLocal/ESAurban-SpineOpt/InputDB/ModelConfigs/"/>
    </mc:Choice>
  </mc:AlternateContent>
  <xr:revisionPtr revIDLastSave="852" documentId="11_AD4DB114E441178AC67DF48FAED7FB78693EDF18" xr6:coauthVersionLast="47" xr6:coauthVersionMax="47" xr10:uidLastSave="{05D5CDD9-150E-412F-A93D-7D3BEC379595}"/>
  <bookViews>
    <workbookView xWindow="-120" yWindow="-120" windowWidth="38640" windowHeight="21840" xr2:uid="{00000000-000D-0000-FFFF-FFFF00000000}"/>
  </bookViews>
  <sheets>
    <sheet name="MGA inv (single year)" sheetId="4" r:id="rId1"/>
    <sheet name="units(old)" sheetId="1" r:id="rId2"/>
    <sheet name="storages(old)" sheetId="2" r:id="rId3"/>
    <sheet name="Other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4" l="1"/>
  <c r="U2" i="4"/>
  <c r="T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2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2" i="4"/>
  <c r="A2" i="1"/>
  <c r="J2" i="1"/>
  <c r="A3" i="1"/>
  <c r="J3" i="1"/>
  <c r="A4" i="1"/>
  <c r="J4" i="1"/>
  <c r="A5" i="1"/>
  <c r="J5" i="1"/>
  <c r="A6" i="1"/>
  <c r="J6" i="1"/>
  <c r="A7" i="1"/>
  <c r="J7" i="1"/>
  <c r="A8" i="1"/>
  <c r="J8" i="1"/>
  <c r="A9" i="1"/>
  <c r="J9" i="1"/>
  <c r="A10" i="1"/>
  <c r="J10" i="1"/>
  <c r="A11" i="1"/>
  <c r="J11" i="1"/>
  <c r="A12" i="1"/>
  <c r="J12" i="1"/>
  <c r="A13" i="1"/>
  <c r="J13" i="1"/>
  <c r="A14" i="1"/>
  <c r="J14" i="1"/>
  <c r="A15" i="1"/>
  <c r="J15" i="1"/>
  <c r="A16" i="1"/>
  <c r="J16" i="1"/>
  <c r="A17" i="1"/>
  <c r="J17" i="1"/>
  <c r="A18" i="1"/>
  <c r="J18" i="1"/>
  <c r="A19" i="1"/>
  <c r="J19" i="1"/>
  <c r="A20" i="1"/>
  <c r="J20" i="1"/>
  <c r="A21" i="1"/>
  <c r="J21" i="1"/>
  <c r="A22" i="1"/>
  <c r="J22" i="1"/>
  <c r="A23" i="1"/>
  <c r="J23" i="1"/>
  <c r="A24" i="1"/>
  <c r="J24" i="1"/>
  <c r="A25" i="1"/>
  <c r="J25" i="1"/>
  <c r="A26" i="1"/>
  <c r="J26" i="1"/>
  <c r="A27" i="1"/>
  <c r="J27" i="1"/>
  <c r="A28" i="1"/>
  <c r="J28" i="1"/>
  <c r="A29" i="1"/>
  <c r="J29" i="1"/>
  <c r="A30" i="1"/>
  <c r="J30" i="1"/>
  <c r="A31" i="1"/>
  <c r="J31" i="1"/>
  <c r="A32" i="1"/>
  <c r="J32" i="1"/>
  <c r="A33" i="1"/>
  <c r="J33" i="1"/>
  <c r="A34" i="1"/>
  <c r="J34" i="1"/>
  <c r="A35" i="1"/>
  <c r="J35" i="1"/>
  <c r="A36" i="1"/>
  <c r="J36" i="1"/>
  <c r="A37" i="1"/>
  <c r="J37" i="1"/>
  <c r="A38" i="1"/>
  <c r="J38" i="1"/>
  <c r="A39" i="1"/>
  <c r="J39" i="1"/>
  <c r="A40" i="1"/>
  <c r="I40" i="1"/>
  <c r="J40" i="1"/>
  <c r="A41" i="1"/>
  <c r="J41" i="1"/>
  <c r="A42" i="1"/>
  <c r="J42" i="1"/>
  <c r="A43" i="1"/>
  <c r="I43" i="1"/>
  <c r="J43" i="1" s="1"/>
  <c r="A44" i="1"/>
  <c r="J44" i="1"/>
  <c r="A45" i="1"/>
  <c r="J45" i="1"/>
  <c r="A46" i="1"/>
  <c r="I46" i="1"/>
  <c r="J46" i="1"/>
  <c r="A47" i="1"/>
  <c r="J47" i="1"/>
  <c r="A48" i="1"/>
  <c r="J48" i="1"/>
  <c r="A49" i="1"/>
  <c r="J49" i="1"/>
  <c r="A50" i="1"/>
  <c r="J50" i="1"/>
  <c r="A51" i="1"/>
  <c r="J51" i="1"/>
  <c r="A52" i="1"/>
  <c r="J52" i="1"/>
  <c r="A53" i="1"/>
  <c r="J53" i="1"/>
  <c r="A54" i="1"/>
  <c r="J54" i="1"/>
  <c r="A55" i="1"/>
  <c r="J55" i="1"/>
  <c r="A56" i="1"/>
  <c r="J56" i="1"/>
  <c r="A57" i="1"/>
  <c r="J57" i="1"/>
  <c r="A58" i="1"/>
  <c r="J58" i="1"/>
  <c r="A59" i="1"/>
  <c r="J59" i="1"/>
  <c r="A60" i="1"/>
  <c r="J60" i="1"/>
  <c r="A61" i="1"/>
  <c r="J61" i="1"/>
  <c r="A62" i="1"/>
  <c r="J62" i="1"/>
  <c r="A63" i="1"/>
  <c r="J63" i="1"/>
  <c r="A64" i="1"/>
  <c r="J64" i="1"/>
  <c r="A65" i="1"/>
  <c r="J65" i="1"/>
  <c r="A66" i="1"/>
  <c r="J66" i="1"/>
  <c r="A67" i="1"/>
  <c r="J67" i="1"/>
  <c r="A68" i="1"/>
  <c r="J68" i="1"/>
  <c r="A69" i="1"/>
  <c r="J69" i="1"/>
  <c r="A70" i="1"/>
  <c r="J70" i="1"/>
  <c r="A71" i="1"/>
  <c r="J71" i="1"/>
  <c r="A72" i="1"/>
  <c r="J72" i="1"/>
  <c r="A73" i="1"/>
  <c r="J73" i="1"/>
  <c r="A74" i="1"/>
  <c r="J74" i="1"/>
  <c r="A75" i="1"/>
  <c r="J75" i="1"/>
  <c r="A76" i="1"/>
  <c r="J76" i="1"/>
  <c r="A77" i="1"/>
  <c r="J77" i="1"/>
  <c r="A78" i="1"/>
  <c r="J78" i="1"/>
  <c r="A79" i="1"/>
  <c r="J79" i="1"/>
  <c r="A80" i="1"/>
  <c r="J80" i="1"/>
  <c r="A81" i="1"/>
  <c r="J81" i="1"/>
  <c r="A82" i="1"/>
  <c r="J82" i="1"/>
  <c r="A83" i="1"/>
  <c r="J83" i="1"/>
  <c r="A84" i="1"/>
  <c r="J84" i="1"/>
  <c r="A85" i="1"/>
  <c r="J85" i="1"/>
  <c r="A86" i="1"/>
  <c r="J86" i="1"/>
  <c r="A87" i="1"/>
  <c r="J87" i="1"/>
  <c r="A88" i="1"/>
  <c r="J88" i="1"/>
  <c r="A89" i="1"/>
  <c r="J89" i="1"/>
  <c r="A90" i="1"/>
  <c r="J90" i="1"/>
  <c r="A91" i="1"/>
  <c r="J91" i="1"/>
  <c r="A92" i="1"/>
  <c r="J92" i="1"/>
  <c r="A93" i="1"/>
  <c r="J93" i="1"/>
  <c r="A94" i="1"/>
  <c r="J94" i="1"/>
  <c r="A95" i="1"/>
  <c r="J95" i="1"/>
  <c r="A96" i="1"/>
  <c r="J96" i="1"/>
  <c r="A97" i="1"/>
  <c r="J97" i="1"/>
  <c r="A98" i="1"/>
  <c r="J98" i="1"/>
  <c r="A99" i="1"/>
  <c r="J99" i="1"/>
  <c r="A100" i="1"/>
  <c r="J100" i="1"/>
  <c r="A101" i="1"/>
  <c r="J101" i="1"/>
  <c r="A102" i="1"/>
  <c r="J102" i="1"/>
  <c r="A103" i="1"/>
  <c r="J103" i="1"/>
  <c r="A104" i="1"/>
  <c r="J104" i="1"/>
  <c r="A105" i="1"/>
  <c r="J105" i="1"/>
  <c r="A106" i="1"/>
  <c r="J106" i="1"/>
  <c r="A107" i="1"/>
  <c r="J107" i="1"/>
  <c r="A108" i="1"/>
  <c r="J108" i="1"/>
  <c r="A109" i="1"/>
  <c r="J109" i="1"/>
  <c r="A110" i="1"/>
  <c r="J110" i="1"/>
  <c r="A111" i="1"/>
  <c r="J111" i="1"/>
  <c r="A112" i="1"/>
  <c r="J112" i="1"/>
  <c r="A113" i="1"/>
  <c r="J113" i="1"/>
  <c r="A114" i="1"/>
  <c r="J114" i="1"/>
  <c r="A115" i="1"/>
  <c r="J115" i="1"/>
  <c r="A116" i="1"/>
  <c r="J116" i="1"/>
  <c r="A117" i="1"/>
  <c r="J117" i="1"/>
  <c r="A118" i="1"/>
  <c r="J118" i="1"/>
  <c r="A119" i="1"/>
  <c r="J119" i="1"/>
  <c r="A120" i="1"/>
  <c r="J120" i="1"/>
  <c r="A121" i="1"/>
  <c r="J121" i="1"/>
  <c r="A122" i="1"/>
  <c r="J122" i="1"/>
  <c r="A123" i="1"/>
  <c r="J123" i="1"/>
  <c r="A124" i="1"/>
  <c r="J124" i="1"/>
  <c r="A125" i="1"/>
  <c r="J125" i="1"/>
  <c r="A126" i="1"/>
  <c r="J126" i="1"/>
  <c r="A127" i="1"/>
  <c r="J127" i="1"/>
  <c r="A128" i="1"/>
  <c r="J128" i="1"/>
  <c r="A129" i="1"/>
  <c r="J129" i="1"/>
  <c r="A130" i="1"/>
  <c r="J130" i="1"/>
  <c r="A131" i="1"/>
  <c r="J131" i="1"/>
  <c r="A132" i="1"/>
  <c r="J132" i="1"/>
  <c r="A133" i="1"/>
  <c r="J133" i="1"/>
  <c r="A134" i="1"/>
  <c r="J134" i="1"/>
  <c r="A135" i="1"/>
  <c r="J135" i="1"/>
  <c r="A136" i="1"/>
  <c r="J136" i="1"/>
  <c r="A137" i="1"/>
  <c r="J137" i="1"/>
  <c r="A138" i="1"/>
  <c r="J138" i="1"/>
  <c r="A139" i="1"/>
  <c r="J139" i="1"/>
  <c r="A140" i="1"/>
  <c r="J140" i="1"/>
  <c r="A141" i="1"/>
  <c r="J141" i="1"/>
  <c r="A142" i="1"/>
  <c r="J142" i="1"/>
  <c r="A143" i="1"/>
  <c r="J143" i="1"/>
  <c r="A144" i="1"/>
  <c r="J144" i="1"/>
  <c r="A145" i="1"/>
  <c r="J145" i="1"/>
  <c r="A146" i="1"/>
  <c r="J146" i="1"/>
  <c r="A147" i="1"/>
  <c r="J147" i="1"/>
  <c r="A148" i="1"/>
  <c r="J148" i="1"/>
  <c r="A149" i="1"/>
  <c r="J149" i="1"/>
  <c r="A150" i="1"/>
  <c r="J150" i="1"/>
  <c r="A151" i="1"/>
  <c r="J151" i="1"/>
  <c r="A152" i="1"/>
  <c r="J152" i="1"/>
  <c r="A153" i="1"/>
  <c r="J153" i="1"/>
  <c r="A154" i="1"/>
  <c r="J154" i="1"/>
  <c r="A155" i="1"/>
  <c r="J155" i="1"/>
  <c r="A156" i="1"/>
  <c r="J156" i="1"/>
  <c r="A157" i="1"/>
  <c r="J157" i="1"/>
  <c r="A158" i="1"/>
  <c r="J158" i="1"/>
  <c r="A159" i="1"/>
  <c r="J159" i="1"/>
  <c r="A160" i="1"/>
  <c r="J160" i="1"/>
  <c r="A161" i="1"/>
  <c r="J161" i="1"/>
  <c r="A162" i="1"/>
  <c r="J162" i="1"/>
  <c r="A163" i="1"/>
  <c r="J163" i="1"/>
  <c r="A164" i="1"/>
  <c r="J164" i="1"/>
  <c r="A165" i="1"/>
  <c r="J165" i="1"/>
  <c r="A166" i="1"/>
  <c r="J166" i="1"/>
  <c r="A167" i="1"/>
  <c r="J167" i="1"/>
  <c r="A168" i="1"/>
  <c r="J168" i="1"/>
  <c r="A169" i="1"/>
  <c r="J169" i="1"/>
  <c r="A170" i="1"/>
  <c r="J170" i="1"/>
  <c r="A171" i="1"/>
  <c r="J171" i="1"/>
  <c r="A172" i="1"/>
  <c r="J172" i="1"/>
  <c r="A173" i="1"/>
  <c r="J173" i="1"/>
  <c r="A174" i="1"/>
  <c r="J174" i="1"/>
  <c r="A175" i="1"/>
  <c r="J175" i="1"/>
  <c r="A176" i="1"/>
  <c r="J176" i="1"/>
  <c r="A177" i="1"/>
  <c r="J177" i="1"/>
  <c r="A178" i="1"/>
  <c r="J178" i="1"/>
  <c r="A179" i="1"/>
  <c r="J179" i="1"/>
  <c r="A180" i="1"/>
  <c r="J180" i="1"/>
  <c r="A181" i="1"/>
  <c r="J181" i="1"/>
  <c r="A182" i="1"/>
  <c r="J182" i="1"/>
  <c r="A183" i="1"/>
  <c r="J183" i="1"/>
  <c r="A184" i="1"/>
  <c r="J184" i="1"/>
  <c r="A185" i="1"/>
  <c r="J185" i="1"/>
  <c r="A186" i="1"/>
  <c r="J186" i="1"/>
  <c r="A187" i="1"/>
  <c r="J187" i="1"/>
  <c r="A188" i="1"/>
  <c r="J188" i="1"/>
  <c r="A189" i="1"/>
  <c r="J189" i="1"/>
  <c r="A190" i="1"/>
  <c r="J190" i="1"/>
  <c r="A191" i="1"/>
  <c r="J191" i="1"/>
  <c r="A192" i="1"/>
  <c r="J192" i="1"/>
  <c r="A193" i="1"/>
  <c r="J193" i="1"/>
  <c r="A194" i="1"/>
  <c r="J194" i="1"/>
  <c r="A195" i="1"/>
  <c r="J195" i="1"/>
  <c r="A196" i="1"/>
  <c r="J196" i="1"/>
  <c r="A197" i="1"/>
  <c r="J197" i="1"/>
  <c r="A198" i="1"/>
  <c r="J198" i="1"/>
  <c r="A199" i="1"/>
  <c r="J199" i="1"/>
  <c r="A200" i="1"/>
  <c r="J200" i="1"/>
  <c r="A201" i="1"/>
  <c r="J201" i="1"/>
  <c r="A202" i="1"/>
  <c r="J202" i="1"/>
  <c r="A203" i="1"/>
  <c r="J203" i="1"/>
  <c r="A204" i="1"/>
  <c r="J204" i="1"/>
  <c r="A205" i="1"/>
  <c r="J205" i="1"/>
  <c r="A206" i="1"/>
  <c r="J206" i="1"/>
  <c r="A207" i="1"/>
  <c r="J207" i="1"/>
  <c r="A208" i="1"/>
  <c r="J208" i="1"/>
  <c r="A209" i="1"/>
  <c r="J209" i="1"/>
  <c r="A210" i="1"/>
  <c r="J210" i="1"/>
  <c r="A211" i="1"/>
  <c r="J211" i="1"/>
  <c r="A212" i="1"/>
  <c r="J212" i="1"/>
  <c r="A213" i="1"/>
  <c r="J213" i="1"/>
  <c r="A214" i="1"/>
  <c r="J214" i="1"/>
  <c r="A215" i="1"/>
  <c r="J215" i="1"/>
  <c r="A216" i="1"/>
  <c r="J216" i="1"/>
  <c r="A217" i="1"/>
  <c r="J217" i="1"/>
  <c r="A218" i="1"/>
  <c r="J218" i="1"/>
  <c r="A219" i="1"/>
  <c r="J219" i="1"/>
  <c r="A220" i="1"/>
  <c r="J220" i="1"/>
  <c r="A221" i="1"/>
  <c r="J221" i="1"/>
  <c r="A222" i="1"/>
  <c r="J222" i="1"/>
  <c r="A223" i="1"/>
  <c r="J223" i="1"/>
  <c r="A224" i="1"/>
  <c r="J224" i="1"/>
  <c r="A225" i="1"/>
  <c r="J225" i="1"/>
  <c r="A226" i="1"/>
  <c r="J226" i="1"/>
  <c r="A227" i="1"/>
  <c r="J227" i="1"/>
  <c r="A228" i="1"/>
  <c r="J228" i="1"/>
  <c r="A229" i="1"/>
  <c r="J229" i="1"/>
  <c r="A230" i="1"/>
  <c r="J230" i="1"/>
  <c r="A231" i="1"/>
  <c r="J231" i="1"/>
  <c r="A232" i="1"/>
  <c r="J232" i="1"/>
  <c r="A233" i="1"/>
  <c r="J233" i="1"/>
  <c r="A234" i="1"/>
  <c r="J234" i="1"/>
  <c r="A235" i="1"/>
  <c r="J235" i="1"/>
  <c r="A236" i="1"/>
  <c r="J236" i="1"/>
  <c r="A237" i="1"/>
  <c r="J237" i="1"/>
  <c r="A238" i="1"/>
  <c r="J238" i="1"/>
  <c r="A239" i="1"/>
  <c r="J239" i="1"/>
  <c r="A240" i="1"/>
  <c r="J240" i="1"/>
  <c r="A241" i="1"/>
  <c r="J241" i="1"/>
  <c r="A242" i="1"/>
  <c r="J242" i="1"/>
  <c r="A243" i="1"/>
  <c r="J243" i="1"/>
  <c r="A244" i="1"/>
  <c r="J244" i="1"/>
  <c r="A245" i="1"/>
  <c r="J245" i="1"/>
  <c r="A246" i="1"/>
  <c r="J246" i="1"/>
  <c r="A247" i="1"/>
  <c r="J247" i="1"/>
  <c r="A248" i="1"/>
  <c r="J248" i="1"/>
  <c r="A249" i="1"/>
  <c r="J249" i="1"/>
  <c r="A250" i="1"/>
  <c r="J250" i="1"/>
  <c r="A251" i="1"/>
  <c r="J251" i="1"/>
  <c r="A252" i="1"/>
  <c r="J252" i="1"/>
  <c r="A253" i="1"/>
  <c r="J253" i="1"/>
  <c r="A254" i="1"/>
  <c r="J254" i="1"/>
  <c r="A255" i="1"/>
  <c r="J255" i="1"/>
  <c r="A256" i="1"/>
  <c r="J256" i="1"/>
  <c r="A257" i="1"/>
  <c r="J257" i="1"/>
  <c r="A258" i="1"/>
  <c r="J258" i="1"/>
  <c r="A259" i="1"/>
  <c r="J259" i="1"/>
  <c r="A260" i="1"/>
  <c r="J260" i="1"/>
  <c r="A261" i="1"/>
  <c r="J261" i="1"/>
  <c r="A262" i="1"/>
  <c r="J262" i="1"/>
  <c r="A263" i="1"/>
  <c r="J263" i="1"/>
  <c r="A264" i="1"/>
  <c r="J264" i="1"/>
  <c r="A265" i="1"/>
  <c r="J265" i="1"/>
  <c r="A266" i="1"/>
  <c r="J266" i="1"/>
  <c r="A267" i="1"/>
  <c r="J267" i="1"/>
  <c r="A268" i="1"/>
  <c r="J268" i="1"/>
  <c r="A269" i="1"/>
  <c r="J269" i="1"/>
  <c r="A270" i="1"/>
  <c r="J270" i="1"/>
  <c r="A271" i="1"/>
  <c r="J271" i="1"/>
  <c r="A272" i="1"/>
  <c r="J272" i="1"/>
  <c r="A273" i="1"/>
  <c r="J273" i="1"/>
  <c r="A274" i="1"/>
  <c r="J274" i="1"/>
  <c r="A275" i="1"/>
  <c r="J275" i="1"/>
  <c r="A276" i="1"/>
  <c r="J276" i="1"/>
  <c r="A277" i="1"/>
  <c r="J277" i="1"/>
  <c r="A278" i="1"/>
  <c r="J278" i="1"/>
  <c r="A279" i="1"/>
  <c r="J279" i="1"/>
  <c r="A280" i="1"/>
  <c r="J280" i="1"/>
  <c r="A281" i="1"/>
  <c r="J281" i="1"/>
  <c r="A282" i="1"/>
  <c r="J282" i="1"/>
  <c r="A283" i="1"/>
  <c r="J283" i="1"/>
  <c r="A284" i="1"/>
  <c r="J284" i="1"/>
  <c r="A285" i="1"/>
  <c r="J285" i="1"/>
  <c r="A286" i="1"/>
  <c r="J286" i="1"/>
  <c r="A287" i="1"/>
  <c r="J287" i="1"/>
  <c r="A288" i="1"/>
  <c r="J288" i="1"/>
  <c r="A289" i="1"/>
  <c r="J289" i="1"/>
  <c r="A290" i="1"/>
  <c r="J290" i="1"/>
  <c r="A291" i="1"/>
  <c r="J291" i="1"/>
  <c r="A292" i="1"/>
  <c r="J292" i="1"/>
  <c r="A293" i="1"/>
  <c r="J293" i="1"/>
  <c r="A294" i="1"/>
  <c r="J294" i="1"/>
  <c r="A295" i="1"/>
  <c r="J295" i="1"/>
  <c r="A296" i="1"/>
  <c r="J296" i="1"/>
  <c r="A297" i="1"/>
  <c r="J297" i="1"/>
  <c r="A298" i="1"/>
  <c r="J298" i="1"/>
  <c r="A299" i="1"/>
  <c r="J299" i="1"/>
  <c r="A300" i="1"/>
  <c r="J300" i="1"/>
  <c r="A301" i="1"/>
  <c r="J301" i="1"/>
  <c r="A302" i="1"/>
  <c r="J302" i="1"/>
  <c r="A303" i="1"/>
  <c r="J303" i="1"/>
  <c r="A304" i="1"/>
  <c r="J304" i="1"/>
  <c r="A305" i="1"/>
  <c r="J305" i="1"/>
  <c r="A306" i="1"/>
  <c r="J306" i="1"/>
  <c r="A307" i="1"/>
  <c r="J307" i="1"/>
  <c r="A308" i="1"/>
  <c r="J308" i="1"/>
  <c r="A309" i="1"/>
  <c r="J309" i="1"/>
  <c r="A310" i="1"/>
  <c r="J310" i="1"/>
  <c r="A311" i="1"/>
  <c r="J311" i="1"/>
  <c r="A312" i="1"/>
  <c r="J312" i="1"/>
  <c r="A313" i="1"/>
  <c r="J313" i="1"/>
  <c r="A314" i="1"/>
  <c r="J314" i="1"/>
  <c r="A315" i="1"/>
  <c r="J315" i="1"/>
  <c r="A316" i="1"/>
  <c r="J316" i="1"/>
  <c r="A317" i="1"/>
  <c r="J317" i="1"/>
  <c r="A318" i="1"/>
  <c r="J318" i="1"/>
  <c r="A319" i="1"/>
  <c r="J319" i="1"/>
  <c r="A320" i="1"/>
  <c r="J320" i="1"/>
  <c r="A321" i="1"/>
  <c r="J321" i="1"/>
  <c r="A322" i="1"/>
  <c r="J322" i="1"/>
  <c r="A323" i="1"/>
  <c r="J323" i="1"/>
  <c r="A324" i="1"/>
  <c r="J324" i="1"/>
  <c r="A325" i="1"/>
  <c r="J325" i="1"/>
  <c r="A326" i="1"/>
  <c r="J326" i="1"/>
  <c r="A327" i="1"/>
  <c r="J327" i="1"/>
  <c r="A328" i="1"/>
  <c r="J328" i="1"/>
  <c r="A329" i="1"/>
  <c r="J329" i="1"/>
  <c r="A330" i="1"/>
  <c r="J330" i="1"/>
  <c r="A331" i="1"/>
  <c r="J331" i="1"/>
  <c r="A332" i="1"/>
  <c r="J332" i="1"/>
  <c r="A333" i="1"/>
  <c r="J333" i="1"/>
  <c r="A334" i="1"/>
  <c r="J334" i="1"/>
  <c r="A335" i="1"/>
  <c r="J335" i="1"/>
  <c r="A336" i="1"/>
  <c r="J336" i="1"/>
  <c r="A337" i="1"/>
  <c r="J337" i="1"/>
  <c r="A338" i="1"/>
  <c r="J338" i="1"/>
  <c r="A339" i="1"/>
  <c r="J339" i="1"/>
  <c r="A340" i="1"/>
  <c r="J340" i="1"/>
  <c r="A341" i="1"/>
  <c r="J341" i="1"/>
  <c r="A342" i="1"/>
  <c r="J342" i="1"/>
  <c r="A343" i="1"/>
  <c r="J343" i="1"/>
  <c r="A344" i="1"/>
  <c r="J344" i="1"/>
  <c r="A345" i="1"/>
  <c r="J345" i="1"/>
  <c r="A346" i="1"/>
  <c r="J346" i="1"/>
  <c r="A347" i="1"/>
  <c r="J347" i="1"/>
  <c r="A348" i="1"/>
  <c r="J348" i="1"/>
  <c r="A349" i="1"/>
  <c r="J349" i="1"/>
  <c r="A350" i="1"/>
  <c r="J350" i="1"/>
  <c r="A351" i="1"/>
  <c r="J351" i="1"/>
  <c r="A352" i="1"/>
  <c r="J352" i="1"/>
  <c r="A353" i="1"/>
  <c r="J353" i="1"/>
  <c r="A354" i="1"/>
  <c r="J354" i="1"/>
  <c r="A355" i="1"/>
  <c r="J355" i="1"/>
  <c r="A356" i="1"/>
  <c r="J356" i="1"/>
  <c r="A357" i="1"/>
  <c r="J357" i="1"/>
  <c r="A358" i="1"/>
  <c r="J358" i="1"/>
  <c r="A359" i="1"/>
  <c r="J359" i="1"/>
  <c r="A360" i="1"/>
  <c r="J360" i="1"/>
  <c r="A361" i="1"/>
  <c r="J361" i="1"/>
  <c r="A362" i="1"/>
  <c r="J362" i="1"/>
  <c r="A363" i="1"/>
  <c r="J363" i="1"/>
  <c r="A364" i="1"/>
  <c r="J364" i="1"/>
  <c r="A365" i="1"/>
  <c r="J365" i="1"/>
  <c r="A366" i="1"/>
  <c r="J366" i="1"/>
  <c r="A367" i="1"/>
  <c r="J367" i="1"/>
  <c r="A368" i="1"/>
  <c r="J368" i="1"/>
  <c r="A369" i="1"/>
  <c r="J369" i="1"/>
  <c r="A370" i="1"/>
  <c r="J370" i="1"/>
  <c r="A371" i="1"/>
  <c r="J371" i="1"/>
  <c r="A372" i="1"/>
  <c r="J372" i="1"/>
  <c r="A373" i="1"/>
  <c r="J373" i="1"/>
  <c r="A374" i="1"/>
  <c r="J374" i="1"/>
  <c r="A375" i="1"/>
  <c r="J375" i="1"/>
  <c r="A376" i="1"/>
  <c r="I376" i="1"/>
  <c r="J376" i="1"/>
  <c r="A377" i="1"/>
  <c r="J377" i="1"/>
  <c r="A378" i="1"/>
  <c r="J378" i="1"/>
  <c r="A379" i="1"/>
  <c r="I379" i="1"/>
  <c r="J379" i="1" s="1"/>
  <c r="A380" i="1"/>
  <c r="J380" i="1"/>
  <c r="A381" i="1"/>
  <c r="J381" i="1"/>
  <c r="A382" i="1"/>
  <c r="I382" i="1"/>
  <c r="J382" i="1"/>
  <c r="A383" i="1"/>
  <c r="J383" i="1"/>
  <c r="A384" i="1"/>
  <c r="J384" i="1"/>
  <c r="A385" i="1"/>
  <c r="J385" i="1"/>
  <c r="A386" i="1"/>
  <c r="J386" i="1"/>
  <c r="A387" i="1"/>
  <c r="J387" i="1"/>
  <c r="A388" i="1"/>
  <c r="J388" i="1"/>
  <c r="A389" i="1"/>
  <c r="J389" i="1"/>
  <c r="A390" i="1"/>
  <c r="J390" i="1"/>
  <c r="A391" i="1"/>
  <c r="J391" i="1"/>
  <c r="A392" i="1"/>
  <c r="J392" i="1"/>
  <c r="A393" i="1"/>
  <c r="J393" i="1"/>
  <c r="A394" i="1"/>
  <c r="J394" i="1"/>
  <c r="A395" i="1"/>
  <c r="J395" i="1"/>
  <c r="A396" i="1"/>
  <c r="J396" i="1"/>
  <c r="A397" i="1"/>
  <c r="J397" i="1"/>
  <c r="A398" i="1"/>
  <c r="J398" i="1"/>
  <c r="A399" i="1"/>
  <c r="J399" i="1"/>
  <c r="A400" i="1"/>
  <c r="J400" i="1"/>
  <c r="A401" i="1"/>
  <c r="J401" i="1"/>
  <c r="A402" i="1"/>
  <c r="J402" i="1"/>
  <c r="A403" i="1"/>
  <c r="J403" i="1"/>
  <c r="A404" i="1"/>
  <c r="J404" i="1"/>
  <c r="A405" i="1"/>
  <c r="J405" i="1"/>
  <c r="A406" i="1"/>
  <c r="J406" i="1"/>
  <c r="A407" i="1"/>
  <c r="J407" i="1"/>
  <c r="A408" i="1"/>
  <c r="J408" i="1"/>
  <c r="A409" i="1"/>
  <c r="J409" i="1"/>
  <c r="A410" i="1"/>
  <c r="J410" i="1"/>
  <c r="A411" i="1"/>
  <c r="J411" i="1"/>
  <c r="A412" i="1"/>
  <c r="J412" i="1"/>
  <c r="A413" i="1"/>
  <c r="J413" i="1"/>
  <c r="A414" i="1"/>
  <c r="J414" i="1"/>
  <c r="A415" i="1"/>
  <c r="J415" i="1"/>
  <c r="A416" i="1"/>
  <c r="J416" i="1"/>
  <c r="A417" i="1"/>
  <c r="J417" i="1"/>
  <c r="A418" i="1"/>
  <c r="J418" i="1"/>
  <c r="A419" i="1"/>
  <c r="J419" i="1"/>
  <c r="A420" i="1"/>
  <c r="J420" i="1"/>
  <c r="A421" i="1"/>
  <c r="J421" i="1"/>
  <c r="A422" i="1"/>
  <c r="J422" i="1"/>
  <c r="A423" i="1"/>
  <c r="J423" i="1"/>
  <c r="A424" i="1"/>
  <c r="J424" i="1"/>
  <c r="A425" i="1"/>
  <c r="J425" i="1"/>
  <c r="A426" i="1"/>
  <c r="J426" i="1"/>
  <c r="A427" i="1"/>
  <c r="J427" i="1"/>
  <c r="A428" i="1"/>
  <c r="J428" i="1"/>
  <c r="A429" i="1"/>
  <c r="J429" i="1"/>
  <c r="A430" i="1"/>
  <c r="J430" i="1"/>
  <c r="A431" i="1"/>
  <c r="J431" i="1"/>
  <c r="A432" i="1"/>
  <c r="J432" i="1"/>
  <c r="A433" i="1"/>
  <c r="J433" i="1"/>
  <c r="A434" i="1"/>
  <c r="J434" i="1"/>
  <c r="A435" i="1"/>
  <c r="J435" i="1"/>
  <c r="A436" i="1"/>
  <c r="J436" i="1"/>
  <c r="A437" i="1"/>
  <c r="J437" i="1"/>
  <c r="A438" i="1"/>
  <c r="J438" i="1"/>
  <c r="A439" i="1"/>
  <c r="J439" i="1"/>
  <c r="A440" i="1"/>
  <c r="J440" i="1"/>
  <c r="A441" i="1"/>
  <c r="J441" i="1"/>
  <c r="A442" i="1"/>
  <c r="J442" i="1"/>
  <c r="A443" i="1"/>
  <c r="J443" i="1"/>
  <c r="A444" i="1"/>
  <c r="J444" i="1"/>
  <c r="A445" i="1"/>
  <c r="J445" i="1"/>
  <c r="A446" i="1"/>
  <c r="J446" i="1"/>
  <c r="A447" i="1"/>
  <c r="J447" i="1"/>
  <c r="A448" i="1"/>
  <c r="J448" i="1"/>
  <c r="A449" i="1"/>
  <c r="J449" i="1"/>
  <c r="A450" i="1"/>
  <c r="J450" i="1"/>
  <c r="A451" i="1"/>
  <c r="J451" i="1"/>
  <c r="A452" i="1"/>
  <c r="J452" i="1"/>
  <c r="A453" i="1"/>
  <c r="J453" i="1"/>
  <c r="A454" i="1"/>
  <c r="J454" i="1"/>
  <c r="A455" i="1"/>
  <c r="J455" i="1"/>
  <c r="A456" i="1"/>
  <c r="J456" i="1"/>
  <c r="A457" i="1"/>
  <c r="J457" i="1"/>
  <c r="A458" i="1"/>
  <c r="J458" i="1"/>
  <c r="A459" i="1"/>
  <c r="J459" i="1"/>
  <c r="A460" i="1"/>
  <c r="J460" i="1"/>
  <c r="A461" i="1"/>
  <c r="J461" i="1"/>
  <c r="A462" i="1"/>
  <c r="J462" i="1"/>
  <c r="A463" i="1"/>
  <c r="J463" i="1"/>
  <c r="A464" i="1"/>
  <c r="J464" i="1"/>
  <c r="A465" i="1"/>
  <c r="J465" i="1"/>
  <c r="A466" i="1"/>
  <c r="J466" i="1"/>
  <c r="A467" i="1"/>
  <c r="J467" i="1"/>
  <c r="A468" i="1"/>
  <c r="J468" i="1"/>
  <c r="A469" i="1"/>
  <c r="J469" i="1"/>
  <c r="A470" i="1"/>
  <c r="J470" i="1"/>
  <c r="A471" i="1"/>
  <c r="J471" i="1"/>
  <c r="A472" i="1"/>
  <c r="J472" i="1"/>
  <c r="A473" i="1"/>
  <c r="J473" i="1"/>
  <c r="A474" i="1"/>
  <c r="J474" i="1"/>
  <c r="A475" i="1"/>
  <c r="J475" i="1"/>
  <c r="A476" i="1"/>
  <c r="J476" i="1"/>
  <c r="A477" i="1"/>
  <c r="J477" i="1"/>
  <c r="A478" i="1"/>
  <c r="J478" i="1"/>
  <c r="A479" i="1"/>
  <c r="J479" i="1"/>
  <c r="A480" i="1"/>
  <c r="J480" i="1"/>
  <c r="A481" i="1"/>
  <c r="J481" i="1"/>
  <c r="A482" i="1"/>
  <c r="J482" i="1"/>
  <c r="A483" i="1"/>
  <c r="J483" i="1"/>
  <c r="A484" i="1"/>
  <c r="J484" i="1"/>
  <c r="A485" i="1"/>
  <c r="J485" i="1"/>
  <c r="A486" i="1"/>
  <c r="J486" i="1"/>
  <c r="A487" i="1"/>
  <c r="J487" i="1"/>
  <c r="A488" i="1"/>
  <c r="J488" i="1"/>
  <c r="A489" i="1"/>
  <c r="J489" i="1"/>
  <c r="A490" i="1"/>
  <c r="J490" i="1"/>
  <c r="A491" i="1"/>
  <c r="J491" i="1"/>
  <c r="A492" i="1"/>
  <c r="J492" i="1"/>
  <c r="A493" i="1"/>
  <c r="J493" i="1"/>
  <c r="A494" i="1"/>
  <c r="J494" i="1"/>
  <c r="A495" i="1"/>
  <c r="J495" i="1"/>
  <c r="A496" i="1"/>
  <c r="J496" i="1"/>
  <c r="A497" i="1"/>
  <c r="J497" i="1"/>
  <c r="A498" i="1"/>
  <c r="J498" i="1"/>
  <c r="A499" i="1"/>
  <c r="J499" i="1"/>
  <c r="A500" i="1"/>
  <c r="J500" i="1"/>
  <c r="A501" i="1"/>
  <c r="J501" i="1"/>
  <c r="A502" i="1"/>
  <c r="J502" i="1"/>
  <c r="A503" i="1"/>
  <c r="J503" i="1"/>
  <c r="A504" i="1"/>
  <c r="J504" i="1"/>
  <c r="A505" i="1"/>
  <c r="J505" i="1"/>
  <c r="A506" i="1"/>
  <c r="J506" i="1"/>
  <c r="A507" i="1"/>
  <c r="J507" i="1"/>
  <c r="A508" i="1"/>
  <c r="J508" i="1"/>
  <c r="A509" i="1"/>
  <c r="J509" i="1"/>
  <c r="A510" i="1"/>
  <c r="J510" i="1"/>
  <c r="A511" i="1"/>
  <c r="J511" i="1"/>
  <c r="A512" i="1"/>
  <c r="J512" i="1"/>
  <c r="A513" i="1"/>
  <c r="J513" i="1"/>
  <c r="A514" i="1"/>
  <c r="J514" i="1"/>
  <c r="A515" i="1"/>
  <c r="J515" i="1"/>
  <c r="A516" i="1"/>
  <c r="J516" i="1"/>
  <c r="A517" i="1"/>
  <c r="J517" i="1"/>
  <c r="A518" i="1"/>
  <c r="J518" i="1"/>
  <c r="A519" i="1"/>
  <c r="J519" i="1"/>
  <c r="A520" i="1"/>
  <c r="J520" i="1"/>
  <c r="A521" i="1"/>
  <c r="J521" i="1"/>
  <c r="A522" i="1"/>
  <c r="J522" i="1"/>
  <c r="A523" i="1"/>
  <c r="J523" i="1"/>
  <c r="A524" i="1"/>
  <c r="J524" i="1"/>
  <c r="A525" i="1"/>
  <c r="J525" i="1"/>
  <c r="A526" i="1"/>
  <c r="J526" i="1"/>
  <c r="A527" i="1"/>
  <c r="J527" i="1"/>
  <c r="A528" i="1"/>
  <c r="J528" i="1"/>
  <c r="A529" i="1"/>
  <c r="J529" i="1"/>
  <c r="A530" i="1"/>
  <c r="J530" i="1"/>
  <c r="A531" i="1"/>
  <c r="J531" i="1"/>
  <c r="A532" i="1"/>
  <c r="J532" i="1"/>
  <c r="A533" i="1"/>
  <c r="J533" i="1"/>
  <c r="A534" i="1"/>
  <c r="J534" i="1"/>
  <c r="A535" i="1"/>
  <c r="J535" i="1"/>
  <c r="A536" i="1"/>
  <c r="J536" i="1"/>
  <c r="A537" i="1"/>
  <c r="J537" i="1"/>
  <c r="A538" i="1"/>
  <c r="J538" i="1"/>
  <c r="A539" i="1"/>
  <c r="J539" i="1"/>
  <c r="A540" i="1"/>
  <c r="J540" i="1"/>
  <c r="A541" i="1"/>
  <c r="J541" i="1"/>
  <c r="A542" i="1"/>
  <c r="J542" i="1"/>
  <c r="A543" i="1"/>
  <c r="J543" i="1"/>
  <c r="A544" i="1"/>
  <c r="J544" i="1"/>
  <c r="A545" i="1"/>
  <c r="J545" i="1"/>
  <c r="A546" i="1"/>
  <c r="J546" i="1"/>
  <c r="A547" i="1"/>
  <c r="J547" i="1"/>
  <c r="A548" i="1"/>
  <c r="J548" i="1"/>
  <c r="A549" i="1"/>
  <c r="J549" i="1"/>
  <c r="A550" i="1"/>
  <c r="J550" i="1"/>
  <c r="A551" i="1"/>
  <c r="J551" i="1"/>
  <c r="H1" i="2"/>
  <c r="I1" i="2"/>
  <c r="G1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2" i="2"/>
  <c r="I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Huang  Jiangyi</author>
  </authors>
  <commentList>
    <comment ref="A1" authorId="0" shapeId="0" xr:uid="{AF54A102-2E5E-43A1-8C5E-69EAF74FB18F}">
      <text>
        <r>
          <rPr>
            <b/>
            <sz val="9"/>
            <color indexed="81"/>
            <rFont val="Tahoma"/>
            <charset val="1"/>
          </rPr>
          <t>Huang  Jiangyi:</t>
        </r>
        <r>
          <rPr>
            <sz val="9"/>
            <color indexed="81"/>
            <rFont val="Tahoma"/>
            <charset val="1"/>
          </rPr>
          <t xml:space="preserve">
- DB editer #Value mode
- all values of year 2020</t>
        </r>
      </text>
    </comment>
  </commentList>
</comments>
</file>

<file path=xl/sharedStrings.xml><?xml version="1.0" encoding="utf-8"?>
<sst xmlns="http://schemas.openxmlformats.org/spreadsheetml/2006/main" count="4231" uniqueCount="380">
  <si>
    <t>name</t>
  </si>
  <si>
    <t>class</t>
  </si>
  <si>
    <t>entity by name</t>
  </si>
  <si>
    <t>parameter name</t>
  </si>
  <si>
    <t>alternative</t>
  </si>
  <si>
    <t>value (original)</t>
  </si>
  <si>
    <t>NOTES</t>
  </si>
  <si>
    <t>value (mga)</t>
  </si>
  <si>
    <t>unit</t>
  </si>
  <si>
    <t>Electric Heater (MFH 80kW)_Anglikon_B-LVL_MFH</t>
  </si>
  <si>
    <t>candidate_units</t>
  </si>
  <si>
    <t>Basic</t>
  </si>
  <si>
    <t>number_of_units</t>
  </si>
  <si>
    <t>unit_investment_cost</t>
  </si>
  <si>
    <t>Electric Heater (MFH 80kW)_Oberdorf_B-LVL_MFH</t>
  </si>
  <si>
    <t>Electric Heater (MFH 80kW)_Town_B-LVL_MFH</t>
  </si>
  <si>
    <t>Electric Heater (SFH 17kW)_Anglikon_B-LVL_SFH</t>
  </si>
  <si>
    <t>Electric Heater (SFH 17kW)_Oberdorf_B-LVL_SFH</t>
  </si>
  <si>
    <t>Electric Heater (SFH 17kW)_Town_B-LVL_SFH</t>
  </si>
  <si>
    <t>Gas Heater (MFH 80kW)_Anglikon_B-LVL_MFH</t>
  </si>
  <si>
    <t>{"data": {"2020-01-01T00:00:00": 80.0, "2030-01-01T00:00:00": 80.0, "2040-01-01T00:00:00": 80.0, "2050-01-01T00:00:00": 80.0}, "type": "time_series"}</t>
  </si>
  <si>
    <t>Gas Heater (MFH 80kW)_Oberdorf_B-LVL_MFH</t>
  </si>
  <si>
    <t>Gas Heater (MFH 80kW)_Town_B-LVL_MFH</t>
  </si>
  <si>
    <t>Gas Heater (SFH 17kW)_Anglikon_B-LVL_SFH</t>
  </si>
  <si>
    <t>{"data": {"2020-01-01T00:00:00": 37.400000000000006, "2030-01-01T00:00:00": 37.400000000000006, "2040-01-01T00:00:00": 37.400000000000006, "2050-01-01T00:00:00": 37.400000000000006}, "type": "time_series"}</t>
  </si>
  <si>
    <t>Gas Heater (SFH 17kW)_Oberdorf_B-LVL_SFH</t>
  </si>
  <si>
    <t>Gas Heater (SFH 17kW)_Town_B-LVL_SFH</t>
  </si>
  <si>
    <t>Gas Turbine (40 MW)_D-LVL_Anglikon</t>
  </si>
  <si>
    <t>EUR to CHF</t>
  </si>
  <si>
    <t>Gas Turbine (40 MW)_D-LVL_Oberdorf</t>
  </si>
  <si>
    <t>Gas Turbine (40 MW)_D-LVL_Town</t>
  </si>
  <si>
    <t>H2 Cavern 150GWh_D-LVL_Anglikon</t>
  </si>
  <si>
    <t>New Price</t>
  </si>
  <si>
    <t>H2 Cavern 150GWh_D-LVL_Oberdorf</t>
  </si>
  <si>
    <t>H2 Cavern 150GWh_D-LVL_Town</t>
  </si>
  <si>
    <t>H2 Heater (MFH 80kW)_Anglikon_B-LVL_MFH</t>
  </si>
  <si>
    <t>H2 Heater (MFH 80kW)_Oberdorf_B-LVL_MFH</t>
  </si>
  <si>
    <t>H2 Heater (MFH 80kW)_Town_B-LVL_MFH</t>
  </si>
  <si>
    <t>H2 Heater (SFH 17kW)_Anglikon_B-LVL_SFH</t>
  </si>
  <si>
    <t>H2 Heater (SFH 17kW)_Oberdorf_B-LVL_SFH</t>
  </si>
  <si>
    <t>H2 Heater (SFH 17kW)_Town_B-LVL_SFH</t>
  </si>
  <si>
    <t>H2 LOHC 7MWh_Anglikon_B-LVL_MFH</t>
  </si>
  <si>
    <t>{"data": {"2020-01-01T00:00:00": 6.252792, "2030-01-01T00:00:00": 3.7218999999999998, "2040-01-01T00:00:00": 3.34971, "2050-01-01T00:00:00": 2.97752}, "type": "time_series"}</t>
  </si>
  <si>
    <t>H2 LOHC 7MWh_Anglikon_B-LVL_SFH</t>
  </si>
  <si>
    <t>H2 LOHC 7MWh_Oberdorf_B-LVL_MFH</t>
  </si>
  <si>
    <t>H2 LOHC 7MWh_Oberdorf_B-LVL_SFH</t>
  </si>
  <si>
    <t>H2 LOHC 7MWh_Town_B-LVL_MFH</t>
  </si>
  <si>
    <t>H2 LOHC 7MWh_Town_B-LVL_SFH</t>
  </si>
  <si>
    <t>H2 Tank 16.7MWh_D-LVL_Anglikon</t>
  </si>
  <si>
    <t>H2 Tank 16.7MWh_D-LVL_Oberdorf</t>
  </si>
  <si>
    <t>H2 Tank 16.7MWh_D-LVL_Town</t>
  </si>
  <si>
    <t>H2-Alkaline Electrolyzer 2MW_Anglikon_B-LVL_MFH</t>
  </si>
  <si>
    <t>H2-Alkaline Electrolyzer 2MW_Oberdorf_B-LVL_MFH</t>
  </si>
  <si>
    <t>H2-Alkaline Electrolyzer 2MW_Town_B-LVL_MFH</t>
  </si>
  <si>
    <t>H2-Alkaline Electrolyzer 100MW_D-LVL_Anglikon</t>
  </si>
  <si>
    <t>H2-Alkaline Electrolyzer 100MW_D-LVL_Oberdorf</t>
  </si>
  <si>
    <t>H2-Alkaline Electrolyzer 100MW_D-LVL_Town</t>
  </si>
  <si>
    <t>H2-PEM Electrolyzer 1.2MW_Anglikon_B-LVL_MFH</t>
  </si>
  <si>
    <t>H2-PEM Electrolyzer 1.2MW_Oberdorf_B-LVL_MFH</t>
  </si>
  <si>
    <t>H2-PEM Electrolyzer 1.2MW_Town_B-LVL_MFH</t>
  </si>
  <si>
    <t>H2-PEM Fuel Cell 1MW_Anglikon_B-LVL_MFH</t>
  </si>
  <si>
    <t>H2-PEM Fuel Cell 1MW_Oberdorf_B-LVL_MFH</t>
  </si>
  <si>
    <t>H2-PEM Fuel Cell 1MW_Town_B-LVL_MFH</t>
  </si>
  <si>
    <t>H2-PEM Fuel Cell 100MW_D-LVL_Anglikon</t>
  </si>
  <si>
    <t>H2-PEM Fuel Cell 100MW_D-LVL_Oberdorf</t>
  </si>
  <si>
    <t>H2-PEM Fuel Cell 100MW_D-LVL_Town</t>
  </si>
  <si>
    <t>H2-SO Electrolyzer 1MW_Anglikon_B-LVL_MFH</t>
  </si>
  <si>
    <t>H2-SO Electrolyzer 1MW_Oberdorf_B-LVL_MFH</t>
  </si>
  <si>
    <t>H2-SO Electrolyzer 1MW_Town_B-LVL_MFH</t>
  </si>
  <si>
    <t>H2-SO Fuel Cell 1MW_Anglikon_B-LVL_MFH</t>
  </si>
  <si>
    <t>H2-SO Fuel Cell 1MW_Oberdorf_B-LVL_MFH</t>
  </si>
  <si>
    <t>H2-SO Fuel Cell 1MW_Town_B-LVL_MFH</t>
  </si>
  <si>
    <t>Heat Pump (air MFH 80kW)_Anglikon_B-LVL_MFH</t>
  </si>
  <si>
    <t>{"data": {"2020-01-01T00:00:00": 200.0, "2030-01-01T00:00:00": 184.0, "2040-01-01T00:00:00": 176.0, "2050-01-01T00:00:00": 160.0}, "type": "time_series"}</t>
  </si>
  <si>
    <t>Heat Pump (air MFH 80kW)_Oberdorf_B-LVL_MFH</t>
  </si>
  <si>
    <t>Heat Pump (air MFH 80kW)_Town_B-LVL_MFH</t>
  </si>
  <si>
    <t>Heat Pump (air SFH 17kW)_Anglikon_B-LVL_SFH</t>
  </si>
  <si>
    <t>Heat Pump (air SFH 17kW)_Oberdorf_B-LVL_SFH</t>
  </si>
  <si>
    <t>Heat Pump (air SFH 17kW)_Town_B-LVL_SFH</t>
  </si>
  <si>
    <t>Heat Pump (ground 1MW)_D-LVL_Anglikon</t>
  </si>
  <si>
    <t>{"data": {"2020-01-01T00:00:00": 700.0, "2050-01-01T00:00:00": 700.0}, "type": "time_series"}</t>
  </si>
  <si>
    <t>Heat Pump (ground 1MW)_D-LVL_Oberdorf</t>
  </si>
  <si>
    <t>Heat Pump (ground 1MW)_D-LVL_Town</t>
  </si>
  <si>
    <t>Heat Pump (ground MFH 80kW)_Anglikon_B-LVL_MFH</t>
  </si>
  <si>
    <t>{"data": {"2020-01-01T00:00:00": 432.0, "2030-01-01T00:00:00": 400.0, "2040-01-01T00:00:00": 368.0, "2050-01-01T00:00:00": 336.0}, "type": "time_series"}</t>
  </si>
  <si>
    <t>Heat Pump (ground MFH 80kW)_Oberdorf_B-LVL_MFH</t>
  </si>
  <si>
    <t>Heat Pump (ground MFH 80kW)_Town_B-LVL_MFH</t>
  </si>
  <si>
    <t>Heat Pump (ground SFH 17kW)_Anglikon_B-LVL_SFH</t>
  </si>
  <si>
    <t>Heat Pump (ground SFH 17kW)_Oberdorf_B-LVL_SFH</t>
  </si>
  <si>
    <t>Heat Pump (ground SFH 17kW)_Town_B-LVL_SFH</t>
  </si>
  <si>
    <t>Heat Pump (water 1MW)_D-LVL_Anglikon</t>
  </si>
  <si>
    <t>{"data": {"2020-01-01T00:00:00": 500.0, "2050-01-01T00:00:00": 500.0}, "type": "time_series"}</t>
  </si>
  <si>
    <t>Heat Pump (water 1MW)_D-LVL_Oberdorf</t>
  </si>
  <si>
    <t>Heat Pump (water 1MW)_D-LVL_Town</t>
  </si>
  <si>
    <t>Hot Water Tank (3kWh)_Anglikon_B-LVL_MFH</t>
  </si>
  <si>
    <t>{"data": {"2020-01-01T00:00:00": 1.26, "2030-01-01T00:00:00": 1.26, "2040-01-01T00:00:00": 1.26, "2050-01-01T00:00:00": 1.26}, "type": "time_series"}</t>
  </si>
  <si>
    <t>Hot Water Tank (3kWh)_Anglikon_B-LVL_SFH</t>
  </si>
  <si>
    <t>Hot Water Tank (3kWh)_Oberdorf_B-LVL_MFH</t>
  </si>
  <si>
    <t>Hot Water Tank (3kWh)_Oberdorf_B-LVL_SFH</t>
  </si>
  <si>
    <t>Hot Water Tank (3kWh)_Town_B-LVL_MFH</t>
  </si>
  <si>
    <t>Hot Water Tank (3kWh)_Town_B-LVL_SFH</t>
  </si>
  <si>
    <t>Hot Water Tank (175MWh)_D-LVL_Anglikon</t>
  </si>
  <si>
    <t>Hot Water Tank (175MWh)_D-LVL_Oberdorf</t>
  </si>
  <si>
    <t>Hot Water Tank (175MWh)_D-LVL_Town</t>
  </si>
  <si>
    <t>Li-ion Battery 8MWh_D-LVL_Anglikon</t>
  </si>
  <si>
    <t>{"data": {"2020-01-01T00:00:00": 8800.0, "2030-01-01T00:00:00": 5280.0, "2040-01-01T00:00:00": 3360.0, "2050-01-01T00:00:00": 2160.0}, "type": "time_series"}</t>
  </si>
  <si>
    <t>Li-ion Battery 8MWh_D-LVL_Oberdorf</t>
  </si>
  <si>
    <t>Li-ion Battery 8MWh_D-LVL_Town</t>
  </si>
  <si>
    <t>Na-S Battery 300MWh_D-LVL_Anglikon</t>
  </si>
  <si>
    <t>Na-S Battery 300MWh_D-LVL_Oberdorf</t>
  </si>
  <si>
    <t>Na-S Battery 300MWh_D-LVL_Town</t>
  </si>
  <si>
    <t>NaMiCl2 Battery 4.15MWh_D-LVL_Anglikon</t>
  </si>
  <si>
    <t>NaMiCl2 Battery 4.15MWh_D-LVL_Oberdorf</t>
  </si>
  <si>
    <t>NaMiCl2 Battery 4.15MWh_D-LVL_Town</t>
  </si>
  <si>
    <t>Oil Heater (MFH 80kW)_Anglikon_B-LVL_MFH</t>
  </si>
  <si>
    <t>{"data": {"2020-01-01T00:00:00": 120.0, "2030-01-01T00:00:00": 120.0, "2040-01-01T00:00:00": 120.0, "2050-01-01T00:00:00": 120.0}, "type": "time_series"}</t>
  </si>
  <si>
    <t>Oil Heater (MFH 80kW)_Oberdorf_B-LVL_MFH</t>
  </si>
  <si>
    <t>Oil Heater (MFH 80kW)_Town_B-LVL_MFH</t>
  </si>
  <si>
    <t>Oil Heater (SFH 17kW)_Anglikon_B-LVL_SFH</t>
  </si>
  <si>
    <t>{"data": {"2020-01-01T00:00:00": 49.300000000000004, "2030-01-01T00:00:00": 49.300000000000004, "2040-01-01T00:00:00": 49.300000000000004, "2050-01-01T00:00:00": 49.300000000000004}, "type": "time_series"}</t>
  </si>
  <si>
    <t>Oil Heater (SFH 17kW)_Oberdorf_B-LVL_SFH</t>
  </si>
  <si>
    <t>Oil Heater (SFH 17kW)_Town_B-LVL_SFH</t>
  </si>
  <si>
    <t>OpenField PV 1MW_D-LVL_Anglikon</t>
  </si>
  <si>
    <t>{"data": {"2020-01-01T00:00:00": 900.0, "2030-01-01T00:00:00": 500.0, "2040-01-01T00:00:00": 400.0, "2050-01-01T00:00:00": 400.0}, "type": "time_series"}</t>
  </si>
  <si>
    <t>OpenField PV 1MW_D-LVL_Oberdorf</t>
  </si>
  <si>
    <t>OpenField PV 1MW_D-LVL_Town</t>
  </si>
  <si>
    <t>PTES Seasonal 4.5GWh_D-LVL_Anglikon</t>
  </si>
  <si>
    <t>PTES Seasonal 4.5GWh_D-LVL_Oberdorf</t>
  </si>
  <si>
    <t>PTES Seasonal 4.5GWh_D-LVL_Town</t>
  </si>
  <si>
    <t>Rooftop PV 10kW_Anglikon_B-LVL_SFH</t>
  </si>
  <si>
    <t>{"data": {"2020-01-01T00:00:00": 28.0, "2030-01-01T00:00:00": 18.0, "2040-01-01T00:00:00": 17.0, "2050-01-01T00:00:00": 16.0}, "type": "time_series"}</t>
  </si>
  <si>
    <t>Rooftop PV 10kW_Oberdorf_B-LVL_SFH</t>
  </si>
  <si>
    <t>Rooftop PV 10kW_Town_B-LVL_SFH</t>
  </si>
  <si>
    <t>Rooftop PV 30kW_Anglikon_B-LVL_MFH</t>
  </si>
  <si>
    <t>{"data": {"2020-01-01T00:00:00": 75.0, "2030-01-01T00:00:00": 54.0, "2040-01-01T00:00:00": 48.0, "2050-01-01T00:00:00": 39.0}, "type": "time_series"}</t>
  </si>
  <si>
    <t>Rooftop PV 30kW_Oberdorf_B-LVL_MFH</t>
  </si>
  <si>
    <t>Rooftop PV 30kW_Town_B-LVL_MFH</t>
  </si>
  <si>
    <t>Vanadium Redox Flow Battery 2MWh_Anglikon_B-LVL_MFH</t>
  </si>
  <si>
    <t>{"data": {"2020-01-01T00:00:00": 1280.0, "2030-01-01T00:00:00": 740.0, "2050-01-01T00:00:00": 700.0}, "type": "time_series"}</t>
  </si>
  <si>
    <t>Vanadium Redox Flow Battery 2MWh_Anglikon_B-LVL_SFH</t>
  </si>
  <si>
    <t>Vanadium Redox Flow Battery 2MWh_Oberdorf_B-LVL_MFH</t>
  </si>
  <si>
    <t>Vanadium Redox Flow Battery 2MWh_Oberdorf_B-LVL_SFH</t>
  </si>
  <si>
    <t>Vanadium Redox Flow Battery 2MWh_Town_B-LVL_MFH</t>
  </si>
  <si>
    <t>Vanadium Redox Flow Battery 2MWh_Town_B-LVL_SFH</t>
  </si>
  <si>
    <t>Wind Turbine 2 (onshore-3.3MW)_D-LVL_Town</t>
  </si>
  <si>
    <t>{"data": {"2020-01-01T00:00:00": 7590.0, "2030-01-01T00:00:00": 7260.0, "2040-01-01T00:00:00": 6930.0, "2050-01-01T00:00:00": 6600.0}, "type": "time_series"}</t>
  </si>
  <si>
    <t>Wind Turbine (onshore-3.3MW)_D-LVL_Anglikon</t>
  </si>
  <si>
    <t>Wind Turbine (onshore-3.3MW)_D-LVL_Oberdorf</t>
  </si>
  <si>
    <t>Wind Turbine (onshore-3.3MW)_D-LVL_Town</t>
  </si>
  <si>
    <t>Wood Heater (MFH 80kW)_Anglikon_B-LVL_MFH</t>
  </si>
  <si>
    <t>{"data": {"2020-01-01T00:00:00": 152.0, "2030-01-01T00:00:00": 152.0, "2040-01-01T00:00:00": 152.0, "2050-01-01T00:00:00": 152.0}, "type": "time_series"}</t>
  </si>
  <si>
    <t>Wood Heater (MFH 80kW)_Oberdorf_B-LVL_MFH</t>
  </si>
  <si>
    <t>Wood Heater (MFH 80kW)_Town_B-LVL_MFH</t>
  </si>
  <si>
    <t>Wood Heater (SFH 17kW)_Anglikon_B-LVL_SFH</t>
  </si>
  <si>
    <t>{"data": {"2020-01-01T00:00:00": 52.7, "2030-01-01T00:00:00": 52.7, "2040-01-01T00:00:00": 52.7, "2050-01-01T00:00:00": 52.7}, "type": "time_series"}</t>
  </si>
  <si>
    <t>Wood Heater (SFH 17kW)_Oberdorf_B-LVL_SFH</t>
  </si>
  <si>
    <t>Wood Heater (SFH 17kW)_Town_B-LVL_SFH</t>
  </si>
  <si>
    <t>Wood Pellet CHP (25 MW)_D-LVL_Anglikon</t>
  </si>
  <si>
    <t>Wood Pellet CHP (25 MW)_D-LVL_Oberdorf</t>
  </si>
  <si>
    <t>Wood Pellet CHP (25 MW)_D-LVL_Town</t>
  </si>
  <si>
    <t>unit__from_node</t>
  </si>
  <si>
    <t>H2 Cavern 150GWh_D-LVL_Anglikon ǀ Hydrogen_D-LVL_Anglikon</t>
  </si>
  <si>
    <t>unit_capacity</t>
  </si>
  <si>
    <t>H2 Cavern 150GWh_D-LVL_Oberdorf ǀ Hydrogen_D-LVL_Oberdorf</t>
  </si>
  <si>
    <t>H2 Cavern 150GWh_D-LVL_Town ǀ Hydrogen_D-LVL_Town</t>
  </si>
  <si>
    <t>H2 Heater (MFH 80kW)_Anglikon_B-LVL_MFH ǀ Hydrogen_Anglikon_B-LVL_MFH</t>
  </si>
  <si>
    <t>H2 Heater (MFH 80kW)_Oberdorf_B-LVL_MFH ǀ Hydrogen_Oberdorf_B-LVL_MFH</t>
  </si>
  <si>
    <t>H2 Heater (MFH 80kW)_Town_B-LVL_MFH ǀ Hydrogen_Town_B-LVL_MFH</t>
  </si>
  <si>
    <t>H2 Heater (SFH 17kW)_Anglikon_B-LVL_SFH ǀ Hydrogen_Anglikon_B-LVL_SFH</t>
  </si>
  <si>
    <t>H2 Heater (SFH 17kW)_Oberdorf_B-LVL_SFH ǀ Hydrogen_Oberdorf_B-LVL_SFH</t>
  </si>
  <si>
    <t>H2 Heater (SFH 17kW)_Town_B-LVL_SFH ǀ Hydrogen_Town_B-LVL_SFH</t>
  </si>
  <si>
    <t>H2 LOHC 7MWh_Anglikon_B-LVL_MFH ǀ Hydrogen_Anglikon_B-LVL_MFH</t>
  </si>
  <si>
    <t>{"data": {"2020-01-01T00:00:00": 7.0, "2030-01-01T00:00:00": 34.0, "2040-01-01T00:00:00": 70.0, "2050-01-01T00:00:00": 300.0}, "type": "time_series"}</t>
  </si>
  <si>
    <t>H2 LOHC 7MWh_Anglikon_B-LVL_SFH ǀ Hydrogen_Anglikon_B-LVL_SFH</t>
  </si>
  <si>
    <t>H2 LOHC 7MWh_Oberdorf_B-LVL_MFH ǀ Hydrogen_Oberdorf_B-LVL_MFH</t>
  </si>
  <si>
    <t>H2 LOHC 7MWh_Oberdorf_B-LVL_SFH ǀ Hydrogen_Oberdorf_B-LVL_SFH</t>
  </si>
  <si>
    <t>H2 LOHC 7MWh_Town_B-LVL_MFH ǀ Hydrogen_Town_B-LVL_MFH</t>
  </si>
  <si>
    <t>H2 LOHC 7MWh_Town_B-LVL_SFH ǀ Hydrogen_Town_B-LVL_SFH</t>
  </si>
  <si>
    <t>H2 Tank 16.7MWh_D-LVL_Anglikon ǀ Hydrogen_D-LVL_Anglikon</t>
  </si>
  <si>
    <t>H2 Tank 16.7MWh_D-LVL_Oberdorf ǀ Hydrogen_D-LVL_Oberdorf</t>
  </si>
  <si>
    <t>H2 Tank 16.7MWh_D-LVL_Town ǀ Hydrogen_D-LVL_Town</t>
  </si>
  <si>
    <t>H2-Alkaline Electrolyzer 2MW_Anglikon_B-LVL_MFH ǀ Electricity_Anglikon_B-LVL_MFH</t>
  </si>
  <si>
    <t>H2-Alkaline Electrolyzer 2MW_Oberdorf_B-LVL_MFH ǀ Electricity_Oberdorf_B-LVL_MFH</t>
  </si>
  <si>
    <t>H2-Alkaline Electrolyzer 2MW_Town_B-LVL_MFH ǀ Electricity_Town_B-LVL_MFH</t>
  </si>
  <si>
    <t>H2-Alkaline Electrolyzer 100MW_D-LVL_Anglikon ǀ Electricity_D-LVL_Anglikon</t>
  </si>
  <si>
    <t>H2-Alkaline Electrolyzer 100MW_D-LVL_Oberdorf ǀ Electricity_D-LVL_Oberdorf</t>
  </si>
  <si>
    <t>H2-Alkaline Electrolyzer 100MW_D-LVL_Town ǀ Electricity_D-LVL_Town</t>
  </si>
  <si>
    <t>H2-PEM Electrolyzer 1.2MW_Anglikon_B-LVL_MFH ǀ Electricity_Anglikon_B-LVL_MFH</t>
  </si>
  <si>
    <t>H2-PEM Electrolyzer 1.2MW_Oberdorf_B-LVL_MFH ǀ Electricity_Oberdorf_B-LVL_MFH</t>
  </si>
  <si>
    <t>H2-PEM Electrolyzer 1.2MW_Town_B-LVL_MFH ǀ Electricity_Town_B-LVL_MFH</t>
  </si>
  <si>
    <t>H2-SO Electrolyzer 1MW_Anglikon_B-LVL_MFH ǀ Electricity_Anglikon_B-LVL_MFH</t>
  </si>
  <si>
    <t>H2-SO Electrolyzer 1MW_Oberdorf_B-LVL_MFH ǀ Electricity_Oberdorf_B-LVL_MFH</t>
  </si>
  <si>
    <t>H2-SO Electrolyzer 1MW_Town_B-LVL_MFH ǀ Electricity_Town_B-LVL_MFH</t>
  </si>
  <si>
    <t>Hot Water Tank (3kWh)_Anglikon_B-LVL_MFH ǀ Space_Heating_Anglikon_B-LVL_MFH</t>
  </si>
  <si>
    <t>{"data": {"2020-01-01T00:00:00": 0.02, "2030-01-01T00:00:00": 0.02, "2040-01-01T00:00:00": 0.02, "2050-01-01T00:00:00": 0.02}, "type": "time_series"}</t>
  </si>
  <si>
    <t>Hot Water Tank (3kWh)_Anglikon_B-LVL_SFH ǀ Space_Heating_Anglikon_B-LVL_SFH</t>
  </si>
  <si>
    <t>Hot Water Tank (3kWh)_Oberdorf_B-LVL_MFH ǀ Space_Heating_Oberdorf_B-LVL_MFH</t>
  </si>
  <si>
    <t>Hot Water Tank (3kWh)_Oberdorf_B-LVL_SFH ǀ Space_Heating_Oberdorf_B-LVL_SFH</t>
  </si>
  <si>
    <t>Hot Water Tank (3kWh)_Town_B-LVL_MFH ǀ Space_Heating_Town_B-LVL_MFH</t>
  </si>
  <si>
    <t>Hot Water Tank (3kWh)_Town_B-LVL_SFH ǀ Space_Heating_Town_B-LVL_SFH</t>
  </si>
  <si>
    <t>Hot Water Tank (175MWh)_D-LVL_Anglikon ǀ Space_Heating_D-LVL_Anglikon</t>
  </si>
  <si>
    <t>Hot Water Tank (175MWh)_D-LVL_Oberdorf ǀ Space_Heating_D-LVL_Oberdorf</t>
  </si>
  <si>
    <t>Hot Water Tank (175MWh)_D-LVL_Town ǀ Space_Heating_D-LVL_Town</t>
  </si>
  <si>
    <t>Li-ion Battery 8MWh_D-LVL_Anglikon ǀ Electricity_D-LVL_Anglikon</t>
  </si>
  <si>
    <t>{"data": {"2020-01-01T00:00:00": 4.0, "2030-01-01T00:00:00": 4.0, "2040-01-01T00:00:00": 4.0, "2050-01-01T00:00:00": 4.0}, "type": "time_series"}</t>
  </si>
  <si>
    <t>Li-ion Battery 8MWh_D-LVL_Oberdorf ǀ Electricity_D-LVL_Oberdorf</t>
  </si>
  <si>
    <t>Li-ion Battery 8MWh_D-LVL_Town ǀ Electricity_D-LVL_Town</t>
  </si>
  <si>
    <t>Na-S Battery 300MWh_D-LVL_Anglikon ǀ Electricity_D-LVL_Anglikon</t>
  </si>
  <si>
    <t>Na-S Battery 300MWh_D-LVL_Oberdorf ǀ Electricity_D-LVL_Oberdorf</t>
  </si>
  <si>
    <t>Na-S Battery 300MWh_D-LVL_Town ǀ Electricity_D-LVL_Town</t>
  </si>
  <si>
    <t>NaMiCl2 Battery 4.15MWh_D-LVL_Anglikon ǀ Electricity_D-LVL_Anglikon</t>
  </si>
  <si>
    <t>NaMiCl2 Battery 4.15MWh_D-LVL_Oberdorf ǀ Electricity_D-LVL_Oberdorf</t>
  </si>
  <si>
    <t>NaMiCl2 Battery 4.15MWh_D-LVL_Town ǀ Electricity_D-LVL_Town</t>
  </si>
  <si>
    <t>PTES Seasonal 4.5GWh_D-LVL_Anglikon ǀ Space_Heating_D-LVL_Anglikon</t>
  </si>
  <si>
    <t>PTES Seasonal 4.5GWh_D-LVL_Oberdorf ǀ Space_Heating_D-LVL_Oberdorf</t>
  </si>
  <si>
    <t>PTES Seasonal 4.5GWh_D-LVL_Town ǀ Space_Heating_D-LVL_Town</t>
  </si>
  <si>
    <t>Vanadium Redox Flow Battery 2MWh_Anglikon_B-LVL_MFH ǀ Electricity_Anglikon_B-LVL_MFH</t>
  </si>
  <si>
    <t>{"data": {"2020-01-01T00:00:00": 0.5, "2030-01-01T00:00:00": 0.5, "2050-01-01T00:00:00": 0.5}, "type": "time_series"}</t>
  </si>
  <si>
    <t>Vanadium Redox Flow Battery 2MWh_Anglikon_B-LVL_SFH ǀ Electricity_Anglikon_B-LVL_SFH</t>
  </si>
  <si>
    <t>Vanadium Redox Flow Battery 2MWh_Oberdorf_B-LVL_MFH ǀ Electricity_Oberdorf_B-LVL_MFH</t>
  </si>
  <si>
    <t>Vanadium Redox Flow Battery 2MWh_Oberdorf_B-LVL_SFH ǀ Electricity_Oberdorf_B-LVL_SFH</t>
  </si>
  <si>
    <t>Vanadium Redox Flow Battery 2MWh_Town_B-LVL_MFH ǀ Electricity_Town_B-LVL_MFH</t>
  </si>
  <si>
    <t>Vanadium Redox Flow Battery 2MWh_Town_B-LVL_SFH ǀ Electricity_Town_B-LVL_SFH</t>
  </si>
  <si>
    <t>unit__to_node</t>
  </si>
  <si>
    <t>Electric Heater (MFH 80kW)_Anglikon_B-LVL_MFH ǀ Space_Heating_Anglikon_B-LVL_MFH</t>
  </si>
  <si>
    <t>Electric Heater (MFH 80kW)_Oberdorf_B-LVL_MFH ǀ Space_Heating_Oberdorf_B-LVL_MFH</t>
  </si>
  <si>
    <t>Electric Heater (MFH 80kW)_Town_B-LVL_MFH ǀ Space_Heating_Town_B-LVL_MFH</t>
  </si>
  <si>
    <t>Electric Heater (SFH 17kW)_Anglikon_B-LVL_SFH ǀ Space_Heating_Anglikon_B-LVL_SFH</t>
  </si>
  <si>
    <t>Electric Heater (SFH 17kW)_Oberdorf_B-LVL_SFH ǀ Space_Heating_Oberdorf_B-LVL_SFH</t>
  </si>
  <si>
    <t>Electric Heater (SFH 17kW)_Town_B-LVL_SFH ǀ Space_Heating_Town_B-LVL_SFH</t>
  </si>
  <si>
    <t>Gas Heater (MFH 80kW)_Anglikon_B-LVL_MFH ǀ Space_Heating_Anglikon_B-LVL_MFH</t>
  </si>
  <si>
    <t>Gas Heater (MFH 80kW)_Oberdorf_B-LVL_MFH ǀ Space_Heating_Oberdorf_B-LVL_MFH</t>
  </si>
  <si>
    <t>Gas Heater (MFH 80kW)_Town_B-LVL_MFH ǀ Space_Heating_Town_B-LVL_MFH</t>
  </si>
  <si>
    <t>Gas Heater (SFH 17kW)_Anglikon_B-LVL_SFH ǀ Space_Heating_Anglikon_B-LVL_SFH</t>
  </si>
  <si>
    <t>Gas Heater (SFH 17kW)_Oberdorf_B-LVL_SFH ǀ Space_Heating_Oberdorf_B-LVL_SFH</t>
  </si>
  <si>
    <t>Gas Heater (SFH 17kW)_Town_B-LVL_SFH ǀ Space_Heating_Town_B-LVL_SFH</t>
  </si>
  <si>
    <t>Gas Turbine (40 MW)_D-LVL_Anglikon ǀ Electricity_D-LVL_Anglikon</t>
  </si>
  <si>
    <t>Gas Turbine (40 MW)_D-LVL_Oberdorf ǀ Electricity_D-LVL_Oberdorf</t>
  </si>
  <si>
    <t>Gas Turbine (40 MW)_D-LVL_Town ǀ Electricity_D-LVL_Town</t>
  </si>
  <si>
    <t>{"data": {"2020-01-01T00:00:00": 2.0, "2030-01-01T00:00:00": 5.0, "2040-01-01T00:00:00": 10.0, "2050-01-01T00:00:00": 50.0}, "type": "time_series"}</t>
  </si>
  <si>
    <t>H2-PEM Fuel Cell 1MW_Anglikon_B-LVL_MFH ǀ Electricity_Anglikon_B-LVL_MFH</t>
  </si>
  <si>
    <t>H2-PEM Fuel Cell 1MW_Oberdorf_B-LVL_MFH ǀ Electricity_Oberdorf_B-LVL_MFH</t>
  </si>
  <si>
    <t>H2-PEM Fuel Cell 1MW_Town_B-LVL_MFH ǀ Electricity_Town_B-LVL_MFH</t>
  </si>
  <si>
    <t>H2-PEM Fuel Cell 100MW_D-LVL_Anglikon ǀ Electricity_D-LVL_Anglikon</t>
  </si>
  <si>
    <t>H2-PEM Fuel Cell 100MW_D-LVL_Oberdorf ǀ Electricity_D-LVL_Oberdorf</t>
  </si>
  <si>
    <t>H2-PEM Fuel Cell 100MW_D-LVL_Town ǀ Electricity_D-LVL_Town</t>
  </si>
  <si>
    <t>H2-SO Fuel Cell 1MW_Anglikon_B-LVL_MFH ǀ Electricity_Anglikon_B-LVL_MFH</t>
  </si>
  <si>
    <t>H2-SO Fuel Cell 1MW_Oberdorf_B-LVL_MFH ǀ Electricity_Oberdorf_B-LVL_MFH</t>
  </si>
  <si>
    <t>H2-SO Fuel Cell 1MW_Town_B-LVL_MFH ǀ Electricity_Town_B-LVL_MFH</t>
  </si>
  <si>
    <t>Heat Pump (air MFH 80kW)_Anglikon_B-LVL_MFH ǀ Space_Heating_Anglikon_B-LVL_MFH</t>
  </si>
  <si>
    <t>Heat Pump (air MFH 80kW)_Oberdorf_B-LVL_MFH ǀ Space_Heating_Oberdorf_B-LVL_MFH</t>
  </si>
  <si>
    <t>Heat Pump (air MFH 80kW)_Town_B-LVL_MFH ǀ Space_Heating_Town_B-LVL_MFH</t>
  </si>
  <si>
    <t>Heat Pump (air SFH 17kW)_Anglikon_B-LVL_SFH ǀ Space_Heating_Anglikon_B-LVL_SFH</t>
  </si>
  <si>
    <t>Heat Pump (air SFH 17kW)_Oberdorf_B-LVL_SFH ǀ Space_Heating_Oberdorf_B-LVL_SFH</t>
  </si>
  <si>
    <t>Heat Pump (air SFH 17kW)_Town_B-LVL_SFH ǀ Space_Heating_Town_B-LVL_SFH</t>
  </si>
  <si>
    <t>Heat Pump (ground 1MW)_D-LVL_Anglikon ǀ Space_Heating_D-LVL_Anglikon</t>
  </si>
  <si>
    <t>Heat Pump (ground 1MW)_D-LVL_Oberdorf ǀ Space_Heating_D-LVL_Oberdorf</t>
  </si>
  <si>
    <t>Heat Pump (ground 1MW)_D-LVL_Town ǀ Space_Heating_D-LVL_Town</t>
  </si>
  <si>
    <t>Heat Pump (ground MFH 80kW)_Anglikon_B-LVL_MFH ǀ Space_Heating_Anglikon_B-LVL_MFH</t>
  </si>
  <si>
    <t>Heat Pump (ground MFH 80kW)_Oberdorf_B-LVL_MFH ǀ Space_Heating_Oberdorf_B-LVL_MFH</t>
  </si>
  <si>
    <t>Heat Pump (ground MFH 80kW)_Town_B-LVL_MFH ǀ Space_Heating_Town_B-LVL_MFH</t>
  </si>
  <si>
    <t>Heat Pump (ground SFH 17kW)_Anglikon_B-LVL_SFH ǀ Space_Heating_Anglikon_B-LVL_SFH</t>
  </si>
  <si>
    <t>Heat Pump (ground SFH 17kW)_Oberdorf_B-LVL_SFH ǀ Space_Heating_Oberdorf_B-LVL_SFH</t>
  </si>
  <si>
    <t>Heat Pump (ground SFH 17kW)_Town_B-LVL_SFH ǀ Space_Heating_Town_B-LVL_SFH</t>
  </si>
  <si>
    <t>Heat Pump (water 1MW)_D-LVL_Anglikon ǀ Space_Heating_D-LVL_Anglikon</t>
  </si>
  <si>
    <t>Heat Pump (water 1MW)_D-LVL_Oberdorf ǀ Space_Heating_D-LVL_Oberdorf</t>
  </si>
  <si>
    <t>Heat Pump (water 1MW)_D-LVL_Town ǀ Space_Heating_D-LVL_Town</t>
  </si>
  <si>
    <t>{"data": {"2020-01-01T00:00:00": 24.0, "2030-01-01T00:00:00": 24.0, "2040-01-01T00:00:00": 24.0, "2050-01-01T00:00:00": 24.0}, "type": "time_series"}</t>
  </si>
  <si>
    <t>Oil Heater (MFH 80kW)_Anglikon_B-LVL_MFH ǀ Space_Heating_Anglikon_B-LVL_MFH</t>
  </si>
  <si>
    <t>Oil Heater (MFH 80kW)_Oberdorf_B-LVL_MFH ǀ Space_Heating_Oberdorf_B-LVL_MFH</t>
  </si>
  <si>
    <t>Oil Heater (MFH 80kW)_Town_B-LVL_MFH ǀ Space_Heating_Town_B-LVL_MFH</t>
  </si>
  <si>
    <t>Oil Heater (SFH 17kW)_Anglikon_B-LVL_SFH ǀ Space_Heating_Anglikon_B-LVL_SFH</t>
  </si>
  <si>
    <t>Oil Heater (SFH 17kW)_Oberdorf_B-LVL_SFH ǀ Space_Heating_Oberdorf_B-LVL_SFH</t>
  </si>
  <si>
    <t>Oil Heater (SFH 17kW)_Town_B-LVL_SFH ǀ Space_Heating_Town_B-LVL_SFH</t>
  </si>
  <si>
    <t>OpenField PV 1MW_D-LVL_Anglikon ǀ Electricity_D-LVL_Anglikon</t>
  </si>
  <si>
    <t>OpenField PV 1MW_D-LVL_Oberdorf ǀ Electricity_D-LVL_Oberdorf</t>
  </si>
  <si>
    <t>OpenField PV 1MW_D-LVL_Town ǀ Electricity_D-LVL_Town</t>
  </si>
  <si>
    <t>Rooftop PV 10kW_Anglikon_B-LVL_SFH ǀ Electricity_Anglikon_B-LVL_SFH</t>
  </si>
  <si>
    <t>Rooftop PV 10kW_Oberdorf_B-LVL_SFH ǀ Electricity_Oberdorf_B-LVL_SFH</t>
  </si>
  <si>
    <t>Rooftop PV 10kW_Town_B-LVL_SFH ǀ Electricity_Town_B-LVL_SFH</t>
  </si>
  <si>
    <t>Rooftop PV 30kW_Anglikon_B-LVL_MFH ǀ Electricity_Anglikon_B-LVL_MFH</t>
  </si>
  <si>
    <t>Rooftop PV 30kW_Oberdorf_B-LVL_MFH ǀ Electricity_Oberdorf_B-LVL_MFH</t>
  </si>
  <si>
    <t>Rooftop PV 30kW_Town_B-LVL_MFH ǀ Electricity_Town_B-LVL_MFH</t>
  </si>
  <si>
    <t>Wind Turbine 2 (onshore-3.3MW)_D-LVL_Town ǀ Electricity_D-LVL_Town</t>
  </si>
  <si>
    <t>Wind Turbine (onshore-3.3MW)_D-LVL_Anglikon ǀ Electricity_D-LVL_Anglikon</t>
  </si>
  <si>
    <t>Wind Turbine (onshore-3.3MW)_D-LVL_Oberdorf ǀ Electricity_D-LVL_Oberdorf</t>
  </si>
  <si>
    <t>Wind Turbine (onshore-3.3MW)_D-LVL_Town ǀ Electricity_D-LVL_Town</t>
  </si>
  <si>
    <t>Wood Heater (MFH 80kW)_Anglikon_B-LVL_MFH ǀ Space_Heating_Anglikon_B-LVL_MFH</t>
  </si>
  <si>
    <t>Wood Heater (MFH 80kW)_Oberdorf_B-LVL_MFH ǀ Space_Heating_Oberdorf_B-LVL_MFH</t>
  </si>
  <si>
    <t>Wood Heater (MFH 80kW)_Town_B-LVL_MFH ǀ Space_Heating_Town_B-LVL_MFH</t>
  </si>
  <si>
    <t>Wood Heater (SFH 17kW)_Anglikon_B-LVL_SFH ǀ Space_Heating_Anglikon_B-LVL_SFH</t>
  </si>
  <si>
    <t>Wood Heater (SFH 17kW)_Oberdorf_B-LVL_SFH ǀ Space_Heating_Oberdorf_B-LVL_SFH</t>
  </si>
  <si>
    <t>Wood Heater (SFH 17kW)_Town_B-LVL_SFH ǀ Space_Heating_Town_B-LVL_SFH</t>
  </si>
  <si>
    <t>Wood Pellet CHP (25 MW)_D-LVL_Anglikon ǀ Electricity_D-LVL_Anglikon</t>
  </si>
  <si>
    <t>Wood Pellet CHP (25 MW)_D-LVL_Anglikon ǀ Space_Heating_D-LVL_Anglikon</t>
  </si>
  <si>
    <t>Wood Pellet CHP (25 MW)_D-LVL_Oberdorf ǀ Electricity_D-LVL_Oberdorf</t>
  </si>
  <si>
    <t>Wood Pellet CHP (25 MW)_D-LVL_Oberdorf ǀ Space_Heating_D-LVL_Oberdorf</t>
  </si>
  <si>
    <t>Wood Pellet CHP (25 MW)_D-LVL_Town ǀ Electricity_D-LVL_Town</t>
  </si>
  <si>
    <t>Wood Pellet CHP (25 MW)_D-LVL_Town ǀ Space_Heating_D-LVL_Town</t>
  </si>
  <si>
    <t>node</t>
  </si>
  <si>
    <t>candidate_storages</t>
  </si>
  <si>
    <t>node_state_cap</t>
  </si>
  <si>
    <t>new val</t>
  </si>
  <si>
    <t>Wood Pellet CHP (25 MW)_D-LVL_Anglikon ǀ Pellet_D-LVL_Anglikon</t>
  </si>
  <si>
    <t>fuel_cost</t>
  </si>
  <si>
    <t>Update to data from 2026-06</t>
  </si>
  <si>
    <t>Wood Pellet CHP (25 MW)_D-LVL_Oberdorf ǀ Pellet_D-LVL_Oberdorf</t>
  </si>
  <si>
    <t>Wood Pellet CHP (25 MW)_D-LVL_Town ǀ Pellet_D-LVL_Town</t>
  </si>
  <si>
    <t>cleanup (original)</t>
  </si>
  <si>
    <t>Overflow_Space_Heating_Anglikon_B-LVL_MFH</t>
  </si>
  <si>
    <t>Overflow_Space_Heating_Anglikon_B-LVL_SFH</t>
  </si>
  <si>
    <t>Overflow_Space_Heating_D-LVL_Anglikon</t>
  </si>
  <si>
    <t>Overflow_Space_Heating_D-LVL_Oberdorf</t>
  </si>
  <si>
    <t>Overflow_Space_Heating_D-LVL_Town</t>
  </si>
  <si>
    <t>Overflow_Space_Heating_Oberdorf_B-LVL_MFH</t>
  </si>
  <si>
    <t>Overflow_Space_Heating_Oberdorf_B-LVL_SFH</t>
  </si>
  <si>
    <t>Overflow_Space_Heating_Town_B-LVL_MFH</t>
  </si>
  <si>
    <t>Overflow_Space_Heating_Town_B-LVL_SFH</t>
  </si>
  <si>
    <t>CO2_emission</t>
  </si>
  <si>
    <t>ElecExport_Town</t>
  </si>
  <si>
    <t>ElecImport_Town</t>
  </si>
  <si>
    <t>CO2_M-LVL</t>
  </si>
  <si>
    <t>Electricity_D-LVL_Town</t>
  </si>
  <si>
    <t>Electricity_Anglikon_B-LVL_MFH</t>
  </si>
  <si>
    <t>Electricity_Oberdorf_B-LVL_MFH</t>
  </si>
  <si>
    <t>Electricity_Town_B-LVL_MFH</t>
  </si>
  <si>
    <t>Electricity_Anglikon_B-LVL_SFH</t>
  </si>
  <si>
    <t>Electricity_Oberdorf_B-LVL_SFH</t>
  </si>
  <si>
    <t>Electricity_Town_B-LVL_SFH</t>
  </si>
  <si>
    <t>Gas_Anglikon_B-LVL_MFH</t>
  </si>
  <si>
    <t>Gas_Oberdorf_B-LVL_MFH</t>
  </si>
  <si>
    <t>Gas_Town_B-LVL_MFH</t>
  </si>
  <si>
    <t>Gas_Anglikon_B-LVL_SFH</t>
  </si>
  <si>
    <t>Gas_Oberdorf_B-LVL_SFH</t>
  </si>
  <si>
    <t>Gas_Town_B-LVL_SFH</t>
  </si>
  <si>
    <t>Gas_D-LVL_Anglikon</t>
  </si>
  <si>
    <t>Gas_D-LVL_Oberdorf</t>
  </si>
  <si>
    <t>Gas_D-LVL_Town</t>
  </si>
  <si>
    <t>Hydrogen_D-LVL_Anglikon</t>
  </si>
  <si>
    <t>Hydrogen_D-LVL_Oberdorf</t>
  </si>
  <si>
    <t>Hydrogen_D-LVL_Town</t>
  </si>
  <si>
    <t>Hydrogen_Anglikon_B-LVL_MFH</t>
  </si>
  <si>
    <t>Hydrogen_Oberdorf_B-LVL_MFH</t>
  </si>
  <si>
    <t>Hydrogen_Town_B-LVL_MFH</t>
  </si>
  <si>
    <t>Hydrogen_Anglikon_B-LVL_SFH</t>
  </si>
  <si>
    <t>Hydrogen_Oberdorf_B-LVL_SFH</t>
  </si>
  <si>
    <t>Hydrogen_Town_B-LVL_SFH</t>
  </si>
  <si>
    <t>Electricity_D-LVL_Anglikon</t>
  </si>
  <si>
    <t>Electricity_D-LVL_Oberdorf</t>
  </si>
  <si>
    <t>Space_Heating_D-LVL_Anglikon</t>
  </si>
  <si>
    <t>Space_Heating_D-LVL_Oberdorf</t>
  </si>
  <si>
    <t>Space_Heating_D-LVL_Town</t>
  </si>
  <si>
    <t>Space_Heating_Anglikon_B-LVL_MFH</t>
  </si>
  <si>
    <t>Space_Heating_Anglikon_B-LVL_SFH</t>
  </si>
  <si>
    <t>Space_Heating_Oberdorf_B-LVL_MFH</t>
  </si>
  <si>
    <t>Space_Heating_Oberdorf_B-LVL_SFH</t>
  </si>
  <si>
    <t>Space_Heating_Town_B-LVL_MFH</t>
  </si>
  <si>
    <t>Space_Heating_Town_B-LVL_SFH</t>
  </si>
  <si>
    <t>Heating_Oil_Anglikon_B-LVL_MFH</t>
  </si>
  <si>
    <t>Heating_Oil_Oberdorf_B-LVL_MFH</t>
  </si>
  <si>
    <t>Heating_Oil_Town_B-LVL_MFH</t>
  </si>
  <si>
    <t>Heating_Oil_Anglikon_B-LVL_SFH</t>
  </si>
  <si>
    <t>Heating_Oil_Oberdorf_B-LVL_SFH</t>
  </si>
  <si>
    <t>Heating_Oil_Town_B-LVL_SFH</t>
  </si>
  <si>
    <t>Wood_Anglikon_B-LVL_MFH</t>
  </si>
  <si>
    <t>Wood_Oberdorf_B-LVL_MFH</t>
  </si>
  <si>
    <t>Wood_Town_B-LVL_MFH</t>
  </si>
  <si>
    <t>Wood_Anglikon_B-LVL_SFH</t>
  </si>
  <si>
    <t>Wood_Oberdorf_B-LVL_SFH</t>
  </si>
  <si>
    <t>Wood_Town_B-LVL_SFH</t>
  </si>
  <si>
    <t>Pellet_D-LVL_Anglikon</t>
  </si>
  <si>
    <t>Pellet_D-LVL_Oberdorf</t>
  </si>
  <si>
    <t>Pellet_D-LVL_Town</t>
  </si>
  <si>
    <t>(from) node</t>
  </si>
  <si>
    <t>(to) node</t>
  </si>
  <si>
    <t>candidate_units (MGA)</t>
  </si>
  <si>
    <t>unit_investment_cost (MGA)</t>
  </si>
  <si>
    <t>unit_capacity (MGA)</t>
  </si>
  <si>
    <t>candidate_storages (MGA)</t>
  </si>
  <si>
    <t>node_state_cap (MGA)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</si>
</sst>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Liberation Sans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209550</xdr:colOff>
      <xdr:row>78</xdr:row>
      <xdr:rowOff>38100</xdr:rowOff>
    </xdr:from>
    <xdr:to>
      <xdr:col>13</xdr:col>
      <xdr:colOff>552450</xdr:colOff>
      <xdr:row>83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EC90A8-FDBE-DF69-E0F3-99724A1E71DA}"/>
            </a:ext>
          </a:extLst>
        </xdr:cNvPr>
        <xdr:cNvSpPr txBox="1"/>
      </xdr:nvSpPr>
      <xdr:spPr>
        <a:xfrm>
          <a:off x="32032575" y="14897100"/>
          <a:ext cx="952500" cy="9525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Huge LOHC and H2 Tank price increase!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1E1F2A7-990F-418B-B34F-C7589F3270A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ef3fd7-9077-4d4e-9c85-50e136100a7d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948-C172-45DB-9FE7-F678F9434DFA}">
  <dimension ref="A1:U213"/>
  <sheetViews>
    <sheetView tabSelected="1" zoomScaleNormal="100" workbookViewId="0">
      <selection activeCell="N3" sqref="N3"/>
    </sheetView>
  </sheetViews>
  <sheetFormatPr defaultRowHeight="15"/>
  <cols>
    <col min="1" max="1" width="51.28515625" bestFit="1" customWidth="1"/>
    <col min="2" max="2" width="14" bestFit="1" customWidth="1"/>
    <col min="3" max="3" width="20.5703125" bestFit="1" customWidth="1"/>
    <col min="4" max="4" width="19.7109375" bestFit="1" customWidth="1"/>
    <col min="5" max="5" width="24.42578125" bestFit="1" customWidth="1"/>
    <col min="7" max="8" width="51.28515625" bestFit="1" customWidth="1"/>
    <col min="9" max="9" width="12.5703125" customWidth="1"/>
    <col min="10" max="10" width="17.7109375" bestFit="1" customWidth="1"/>
    <col min="12" max="13" width="51.28515625" bestFit="1" customWidth="1"/>
    <col min="14" max="14" width="11.85546875" bestFit="1" customWidth="1"/>
    <col min="15" max="15" width="17.7109375" bestFit="1" customWidth="1"/>
    <col min="17" max="17" width="51.28515625" bestFit="1" customWidth="1"/>
    <col min="18" max="18" width="17" bestFit="1" customWidth="1"/>
    <col min="19" max="19" width="14.28515625" bestFit="1" customWidth="1"/>
    <col min="20" max="20" width="22.7109375" bestFit="1" customWidth="1"/>
    <col min="21" max="21" width="19.85546875" bestFit="1" customWidth="1"/>
  </cols>
  <sheetData>
    <row r="1" spans="1:21">
      <c r="A1" t="s">
        <v>8</v>
      </c>
      <c r="B1" t="s">
        <v>10</v>
      </c>
      <c r="C1" t="s">
        <v>13</v>
      </c>
      <c r="D1" t="s">
        <v>375</v>
      </c>
      <c r="E1" t="s">
        <v>376</v>
      </c>
      <c r="G1" t="s">
        <v>8</v>
      </c>
      <c r="H1" t="s">
        <v>373</v>
      </c>
      <c r="I1" t="s">
        <v>162</v>
      </c>
      <c r="J1" t="s">
        <v>377</v>
      </c>
      <c r="L1" t="s">
        <v>8</v>
      </c>
      <c r="M1" t="s">
        <v>374</v>
      </c>
      <c r="N1" t="s">
        <v>162</v>
      </c>
      <c r="O1" t="s">
        <v>377</v>
      </c>
      <c r="Q1" t="s">
        <v>299</v>
      </c>
      <c r="R1" t="s">
        <v>300</v>
      </c>
      <c r="S1" t="s">
        <v>301</v>
      </c>
      <c r="T1" t="s">
        <v>378</v>
      </c>
      <c r="U1" t="s">
        <v>379</v>
      </c>
    </row>
    <row r="2" spans="1:21">
      <c r="A2" t="s">
        <v>318</v>
      </c>
      <c r="D2" t="str">
        <f>IF(B2="","",1)</f>
        <v/>
      </c>
      <c r="E2" t="str">
        <f>IF(D2="","",C2*B2/D2)</f>
        <v/>
      </c>
      <c r="G2" t="s">
        <v>318</v>
      </c>
      <c r="H2" t="s">
        <v>321</v>
      </c>
      <c r="J2" t="str">
        <f>IF(I2="","",IF(VLOOKUP(G2,$A$2:$E$140,2,FALSE)="",I2,I2*VLOOKUP(G2,$A$2:$E$140,2,FALSE)/VLOOKUP(G2,$A$2:$E$140,4,FALSE)))</f>
        <v/>
      </c>
      <c r="L2" t="s">
        <v>320</v>
      </c>
      <c r="M2" t="s">
        <v>322</v>
      </c>
      <c r="N2">
        <v>10</v>
      </c>
      <c r="O2">
        <f>IF(N2="","",IF(VLOOKUP(L2,$A$2:$E$140,2,FALSE)="",N2,N2*VLOOKUP(L2,$A$2:$E$140,2,FALSE)/VLOOKUP(L2,$A$2:$E$140,4,FALSE)))</f>
        <v>10</v>
      </c>
      <c r="Q2" t="s">
        <v>321</v>
      </c>
      <c r="T2" t="str">
        <f t="shared" ref="T2" si="0">IF(R2="","",1)</f>
        <v/>
      </c>
      <c r="U2" t="str">
        <f t="shared" ref="U2" si="1">IF(T2="","",S2*R2/T2)</f>
        <v/>
      </c>
    </row>
    <row r="3" spans="1:21">
      <c r="A3" t="s">
        <v>319</v>
      </c>
      <c r="D3">
        <v>1</v>
      </c>
      <c r="E3">
        <f t="shared" ref="E3:E66" si="2">IF(D3="","",C3*B3/D3)</f>
        <v>0</v>
      </c>
      <c r="G3" t="s">
        <v>319</v>
      </c>
      <c r="H3" t="s">
        <v>322</v>
      </c>
      <c r="I3">
        <v>10</v>
      </c>
      <c r="J3">
        <f t="shared" ref="J3:J66" si="3">IF(I3="","",IF(VLOOKUP(G3,$A$2:$E$140,2,FALSE)="",I3,I3*VLOOKUP(G3,$A$2:$E$140,2,FALSE)/VLOOKUP(G3,$A$2:$E$140,4,FALSE)))</f>
        <v>10</v>
      </c>
      <c r="L3" t="s">
        <v>9</v>
      </c>
      <c r="M3" t="s">
        <v>352</v>
      </c>
      <c r="N3">
        <v>0.08</v>
      </c>
      <c r="O3">
        <f t="shared" ref="O3:O66" si="4">IF(N3="","",IF(VLOOKUP(L3,$A$2:$E$140,2,FALSE)="",N3,N3*VLOOKUP(L3,$A$2:$E$140,2,FALSE)/VLOOKUP(L3,$A$2:$E$140,4,FALSE)))</f>
        <v>3.52</v>
      </c>
      <c r="Q3" t="s">
        <v>323</v>
      </c>
      <c r="T3" t="str">
        <f t="shared" ref="T3:T66" si="5">IF(R3="","",1)</f>
        <v/>
      </c>
      <c r="U3" t="str">
        <f t="shared" ref="U3:U66" si="6">IF(T3="","",S3*R3/T3)</f>
        <v/>
      </c>
    </row>
    <row r="4" spans="1:21">
      <c r="A4" t="s">
        <v>320</v>
      </c>
      <c r="D4">
        <v>1</v>
      </c>
      <c r="E4">
        <f t="shared" si="2"/>
        <v>0</v>
      </c>
      <c r="G4" t="s">
        <v>9</v>
      </c>
      <c r="H4" t="s">
        <v>323</v>
      </c>
      <c r="J4" t="str">
        <f t="shared" si="3"/>
        <v/>
      </c>
      <c r="L4" t="s">
        <v>14</v>
      </c>
      <c r="M4" t="s">
        <v>354</v>
      </c>
      <c r="N4">
        <v>0.08</v>
      </c>
      <c r="O4">
        <f t="shared" si="4"/>
        <v>5.68</v>
      </c>
      <c r="Q4" t="s">
        <v>326</v>
      </c>
      <c r="T4" t="str">
        <f t="shared" si="5"/>
        <v/>
      </c>
      <c r="U4" t="str">
        <f t="shared" si="6"/>
        <v/>
      </c>
    </row>
    <row r="5" spans="1:21">
      <c r="A5" t="s">
        <v>9</v>
      </c>
      <c r="B5">
        <v>44</v>
      </c>
      <c r="C5">
        <v>15.2</v>
      </c>
      <c r="D5">
        <f t="shared" ref="D3:D66" si="7">IF(B5="","",1)</f>
        <v>1</v>
      </c>
      <c r="E5">
        <f t="shared" si="2"/>
        <v>668.8</v>
      </c>
      <c r="G5" t="s">
        <v>14</v>
      </c>
      <c r="H5" t="s">
        <v>324</v>
      </c>
      <c r="J5" t="str">
        <f t="shared" si="3"/>
        <v/>
      </c>
      <c r="L5" t="s">
        <v>15</v>
      </c>
      <c r="M5" t="s">
        <v>356</v>
      </c>
      <c r="N5">
        <v>0.08</v>
      </c>
      <c r="O5">
        <f t="shared" si="4"/>
        <v>42.96</v>
      </c>
      <c r="Q5" t="s">
        <v>347</v>
      </c>
      <c r="T5" t="str">
        <f t="shared" si="5"/>
        <v/>
      </c>
      <c r="U5" t="str">
        <f t="shared" si="6"/>
        <v/>
      </c>
    </row>
    <row r="6" spans="1:21">
      <c r="A6" t="s">
        <v>14</v>
      </c>
      <c r="B6">
        <v>71</v>
      </c>
      <c r="C6">
        <v>15.2</v>
      </c>
      <c r="D6">
        <f t="shared" si="7"/>
        <v>1</v>
      </c>
      <c r="E6">
        <f t="shared" si="2"/>
        <v>1079.2</v>
      </c>
      <c r="G6" t="s">
        <v>15</v>
      </c>
      <c r="H6" t="s">
        <v>325</v>
      </c>
      <c r="J6" t="str">
        <f t="shared" si="3"/>
        <v/>
      </c>
      <c r="L6" t="s">
        <v>16</v>
      </c>
      <c r="M6" t="s">
        <v>353</v>
      </c>
      <c r="N6">
        <v>1.7000000000000001E-2</v>
      </c>
      <c r="O6">
        <f t="shared" si="4"/>
        <v>4.7430000000000003</v>
      </c>
      <c r="Q6" t="s">
        <v>348</v>
      </c>
      <c r="T6" t="str">
        <f t="shared" si="5"/>
        <v/>
      </c>
      <c r="U6" t="str">
        <f t="shared" si="6"/>
        <v/>
      </c>
    </row>
    <row r="7" spans="1:21">
      <c r="A7" t="s">
        <v>15</v>
      </c>
      <c r="B7">
        <v>537</v>
      </c>
      <c r="C7">
        <v>15.2</v>
      </c>
      <c r="D7">
        <f t="shared" si="7"/>
        <v>1</v>
      </c>
      <c r="E7">
        <f t="shared" si="2"/>
        <v>8162.4</v>
      </c>
      <c r="G7" t="s">
        <v>16</v>
      </c>
      <c r="H7" t="s">
        <v>326</v>
      </c>
      <c r="J7" t="str">
        <f t="shared" si="3"/>
        <v/>
      </c>
      <c r="L7" t="s">
        <v>17</v>
      </c>
      <c r="M7" t="s">
        <v>355</v>
      </c>
      <c r="N7">
        <v>1.7000000000000001E-2</v>
      </c>
      <c r="O7">
        <f t="shared" si="4"/>
        <v>9.01</v>
      </c>
      <c r="Q7" t="s">
        <v>322</v>
      </c>
      <c r="T7" t="str">
        <f t="shared" si="5"/>
        <v/>
      </c>
      <c r="U7" t="str">
        <f t="shared" si="6"/>
        <v/>
      </c>
    </row>
    <row r="8" spans="1:21">
      <c r="A8" t="s">
        <v>16</v>
      </c>
      <c r="B8">
        <v>279</v>
      </c>
      <c r="C8">
        <v>10.88</v>
      </c>
      <c r="D8">
        <f t="shared" si="7"/>
        <v>1</v>
      </c>
      <c r="E8">
        <f t="shared" si="2"/>
        <v>3035.5200000000004</v>
      </c>
      <c r="G8" t="s">
        <v>17</v>
      </c>
      <c r="H8" t="s">
        <v>327</v>
      </c>
      <c r="J8" t="str">
        <f t="shared" si="3"/>
        <v/>
      </c>
      <c r="L8" t="s">
        <v>18</v>
      </c>
      <c r="M8" t="s">
        <v>357</v>
      </c>
      <c r="N8">
        <v>1.7000000000000001E-2</v>
      </c>
      <c r="O8">
        <f t="shared" si="4"/>
        <v>29.138000000000002</v>
      </c>
      <c r="Q8" t="s">
        <v>324</v>
      </c>
      <c r="T8" t="str">
        <f t="shared" si="5"/>
        <v/>
      </c>
      <c r="U8" t="str">
        <f t="shared" si="6"/>
        <v/>
      </c>
    </row>
    <row r="9" spans="1:21">
      <c r="A9" t="s">
        <v>17</v>
      </c>
      <c r="B9">
        <v>530</v>
      </c>
      <c r="C9">
        <v>10.88</v>
      </c>
      <c r="D9">
        <f t="shared" si="7"/>
        <v>1</v>
      </c>
      <c r="E9">
        <f t="shared" si="2"/>
        <v>5766.4000000000005</v>
      </c>
      <c r="G9" t="s">
        <v>18</v>
      </c>
      <c r="H9" t="s">
        <v>328</v>
      </c>
      <c r="J9" t="str">
        <f t="shared" si="3"/>
        <v/>
      </c>
      <c r="L9" t="s">
        <v>19</v>
      </c>
      <c r="M9" t="s">
        <v>321</v>
      </c>
      <c r="O9" t="str">
        <f t="shared" si="4"/>
        <v/>
      </c>
      <c r="Q9" t="s">
        <v>327</v>
      </c>
      <c r="T9" t="str">
        <f t="shared" si="5"/>
        <v/>
      </c>
      <c r="U9" t="str">
        <f t="shared" si="6"/>
        <v/>
      </c>
    </row>
    <row r="10" spans="1:21">
      <c r="A10" t="s">
        <v>18</v>
      </c>
      <c r="B10">
        <v>1714</v>
      </c>
      <c r="C10">
        <v>10.88</v>
      </c>
      <c r="D10">
        <f t="shared" si="7"/>
        <v>1</v>
      </c>
      <c r="E10">
        <f t="shared" si="2"/>
        <v>18648.32</v>
      </c>
      <c r="G10" t="s">
        <v>19</v>
      </c>
      <c r="H10" t="s">
        <v>329</v>
      </c>
      <c r="J10" t="str">
        <f t="shared" si="3"/>
        <v/>
      </c>
      <c r="L10" t="s">
        <v>19</v>
      </c>
      <c r="M10" t="s">
        <v>352</v>
      </c>
      <c r="N10">
        <v>0.08</v>
      </c>
      <c r="O10">
        <f t="shared" si="4"/>
        <v>3.52</v>
      </c>
      <c r="Q10" t="s">
        <v>325</v>
      </c>
      <c r="T10" t="str">
        <f t="shared" si="5"/>
        <v/>
      </c>
      <c r="U10" t="str">
        <f t="shared" si="6"/>
        <v/>
      </c>
    </row>
    <row r="11" spans="1:21">
      <c r="A11" t="s">
        <v>19</v>
      </c>
      <c r="B11">
        <v>44</v>
      </c>
      <c r="C11">
        <v>80</v>
      </c>
      <c r="D11">
        <f t="shared" si="7"/>
        <v>1</v>
      </c>
      <c r="E11">
        <f t="shared" si="2"/>
        <v>3520</v>
      </c>
      <c r="G11" t="s">
        <v>21</v>
      </c>
      <c r="H11" t="s">
        <v>330</v>
      </c>
      <c r="J11" t="str">
        <f t="shared" si="3"/>
        <v/>
      </c>
      <c r="L11" t="s">
        <v>21</v>
      </c>
      <c r="M11" t="s">
        <v>321</v>
      </c>
      <c r="O11" t="str">
        <f t="shared" si="4"/>
        <v/>
      </c>
      <c r="Q11" t="s">
        <v>328</v>
      </c>
      <c r="T11" t="str">
        <f t="shared" si="5"/>
        <v/>
      </c>
      <c r="U11" t="str">
        <f t="shared" si="6"/>
        <v/>
      </c>
    </row>
    <row r="12" spans="1:21">
      <c r="A12" t="s">
        <v>21</v>
      </c>
      <c r="B12">
        <v>71</v>
      </c>
      <c r="C12">
        <v>80</v>
      </c>
      <c r="D12">
        <f t="shared" si="7"/>
        <v>1</v>
      </c>
      <c r="E12">
        <f t="shared" si="2"/>
        <v>5680</v>
      </c>
      <c r="G12" t="s">
        <v>22</v>
      </c>
      <c r="H12" t="s">
        <v>331</v>
      </c>
      <c r="J12" t="str">
        <f t="shared" si="3"/>
        <v/>
      </c>
      <c r="L12" t="s">
        <v>21</v>
      </c>
      <c r="M12" t="s">
        <v>354</v>
      </c>
      <c r="N12">
        <v>0.08</v>
      </c>
      <c r="O12">
        <f t="shared" si="4"/>
        <v>5.68</v>
      </c>
      <c r="Q12" t="s">
        <v>329</v>
      </c>
      <c r="T12" t="str">
        <f t="shared" si="5"/>
        <v/>
      </c>
      <c r="U12" t="str">
        <f t="shared" si="6"/>
        <v/>
      </c>
    </row>
    <row r="13" spans="1:21">
      <c r="A13" t="s">
        <v>22</v>
      </c>
      <c r="B13">
        <v>537</v>
      </c>
      <c r="C13">
        <v>80</v>
      </c>
      <c r="D13">
        <f t="shared" si="7"/>
        <v>1</v>
      </c>
      <c r="E13">
        <f t="shared" si="2"/>
        <v>42960</v>
      </c>
      <c r="G13" t="s">
        <v>23</v>
      </c>
      <c r="H13" t="s">
        <v>332</v>
      </c>
      <c r="J13" t="str">
        <f t="shared" si="3"/>
        <v/>
      </c>
      <c r="L13" t="s">
        <v>22</v>
      </c>
      <c r="M13" t="s">
        <v>321</v>
      </c>
      <c r="O13" t="str">
        <f t="shared" si="4"/>
        <v/>
      </c>
      <c r="Q13" t="s">
        <v>332</v>
      </c>
      <c r="T13" t="str">
        <f t="shared" si="5"/>
        <v/>
      </c>
      <c r="U13" t="str">
        <f t="shared" si="6"/>
        <v/>
      </c>
    </row>
    <row r="14" spans="1:21">
      <c r="A14" t="s">
        <v>23</v>
      </c>
      <c r="B14">
        <v>279</v>
      </c>
      <c r="C14">
        <v>37.4</v>
      </c>
      <c r="D14">
        <f t="shared" si="7"/>
        <v>1</v>
      </c>
      <c r="E14">
        <f t="shared" si="2"/>
        <v>10434.6</v>
      </c>
      <c r="G14" t="s">
        <v>25</v>
      </c>
      <c r="H14" t="s">
        <v>333</v>
      </c>
      <c r="J14" t="str">
        <f t="shared" si="3"/>
        <v/>
      </c>
      <c r="L14" t="s">
        <v>22</v>
      </c>
      <c r="M14" t="s">
        <v>356</v>
      </c>
      <c r="N14">
        <v>0.08</v>
      </c>
      <c r="O14">
        <f t="shared" si="4"/>
        <v>42.96</v>
      </c>
      <c r="Q14" t="s">
        <v>335</v>
      </c>
      <c r="T14" t="str">
        <f t="shared" si="5"/>
        <v/>
      </c>
      <c r="U14" t="str">
        <f t="shared" si="6"/>
        <v/>
      </c>
    </row>
    <row r="15" spans="1:21">
      <c r="A15" t="s">
        <v>25</v>
      </c>
      <c r="B15">
        <v>530</v>
      </c>
      <c r="C15">
        <v>37.4</v>
      </c>
      <c r="D15">
        <f t="shared" si="7"/>
        <v>1</v>
      </c>
      <c r="E15">
        <f t="shared" si="2"/>
        <v>19822</v>
      </c>
      <c r="G15" t="s">
        <v>26</v>
      </c>
      <c r="H15" t="s">
        <v>334</v>
      </c>
      <c r="J15" t="str">
        <f t="shared" si="3"/>
        <v/>
      </c>
      <c r="L15" t="s">
        <v>23</v>
      </c>
      <c r="M15" t="s">
        <v>321</v>
      </c>
      <c r="O15" t="str">
        <f t="shared" si="4"/>
        <v/>
      </c>
      <c r="Q15" t="s">
        <v>336</v>
      </c>
      <c r="T15" t="str">
        <f t="shared" si="5"/>
        <v/>
      </c>
      <c r="U15" t="str">
        <f t="shared" si="6"/>
        <v/>
      </c>
    </row>
    <row r="16" spans="1:21">
      <c r="A16" t="s">
        <v>26</v>
      </c>
      <c r="B16">
        <v>1714</v>
      </c>
      <c r="C16">
        <v>37.4</v>
      </c>
      <c r="D16">
        <f t="shared" si="7"/>
        <v>1</v>
      </c>
      <c r="E16">
        <f t="shared" si="2"/>
        <v>64103.6</v>
      </c>
      <c r="G16" t="s">
        <v>27</v>
      </c>
      <c r="H16" t="s">
        <v>335</v>
      </c>
      <c r="J16" t="str">
        <f t="shared" si="3"/>
        <v/>
      </c>
      <c r="L16" t="s">
        <v>23</v>
      </c>
      <c r="M16" t="s">
        <v>353</v>
      </c>
      <c r="N16">
        <v>1.7000000000000001E-2</v>
      </c>
      <c r="O16">
        <f t="shared" si="4"/>
        <v>4.7430000000000003</v>
      </c>
      <c r="Q16" t="s">
        <v>337</v>
      </c>
      <c r="T16" t="str">
        <f t="shared" si="5"/>
        <v/>
      </c>
      <c r="U16" t="str">
        <f t="shared" si="6"/>
        <v/>
      </c>
    </row>
    <row r="17" spans="1:21">
      <c r="A17" t="s">
        <v>27</v>
      </c>
      <c r="B17">
        <v>10</v>
      </c>
      <c r="C17">
        <v>17200</v>
      </c>
      <c r="D17">
        <f t="shared" si="7"/>
        <v>1</v>
      </c>
      <c r="E17">
        <f t="shared" si="2"/>
        <v>172000</v>
      </c>
      <c r="G17" t="s">
        <v>29</v>
      </c>
      <c r="H17" t="s">
        <v>336</v>
      </c>
      <c r="J17" t="str">
        <f t="shared" si="3"/>
        <v/>
      </c>
      <c r="L17" t="s">
        <v>25</v>
      </c>
      <c r="M17" t="s">
        <v>321</v>
      </c>
      <c r="O17" t="str">
        <f t="shared" si="4"/>
        <v/>
      </c>
      <c r="Q17" t="s">
        <v>330</v>
      </c>
      <c r="T17" t="str">
        <f t="shared" si="5"/>
        <v/>
      </c>
      <c r="U17" t="str">
        <f t="shared" si="6"/>
        <v/>
      </c>
    </row>
    <row r="18" spans="1:21">
      <c r="A18" t="s">
        <v>29</v>
      </c>
      <c r="B18">
        <v>10</v>
      </c>
      <c r="C18">
        <v>17200</v>
      </c>
      <c r="D18">
        <f t="shared" si="7"/>
        <v>1</v>
      </c>
      <c r="E18">
        <f t="shared" si="2"/>
        <v>172000</v>
      </c>
      <c r="G18" t="s">
        <v>30</v>
      </c>
      <c r="H18" t="s">
        <v>337</v>
      </c>
      <c r="J18" t="str">
        <f t="shared" si="3"/>
        <v/>
      </c>
      <c r="L18" t="s">
        <v>25</v>
      </c>
      <c r="M18" t="s">
        <v>355</v>
      </c>
      <c r="N18">
        <v>1.7000000000000001E-2</v>
      </c>
      <c r="O18">
        <f t="shared" si="4"/>
        <v>9.01</v>
      </c>
      <c r="Q18" t="s">
        <v>333</v>
      </c>
      <c r="T18" t="str">
        <f t="shared" si="5"/>
        <v/>
      </c>
      <c r="U18" t="str">
        <f t="shared" si="6"/>
        <v/>
      </c>
    </row>
    <row r="19" spans="1:21">
      <c r="A19" t="s">
        <v>30</v>
      </c>
      <c r="B19">
        <v>10</v>
      </c>
      <c r="C19">
        <v>17200</v>
      </c>
      <c r="D19">
        <f t="shared" si="7"/>
        <v>1</v>
      </c>
      <c r="E19">
        <f t="shared" si="2"/>
        <v>172000</v>
      </c>
      <c r="G19" t="s">
        <v>31</v>
      </c>
      <c r="H19" t="s">
        <v>31</v>
      </c>
      <c r="J19" t="str">
        <f t="shared" si="3"/>
        <v/>
      </c>
      <c r="L19" t="s">
        <v>26</v>
      </c>
      <c r="M19" t="s">
        <v>321</v>
      </c>
      <c r="O19" t="str">
        <f t="shared" si="4"/>
        <v/>
      </c>
      <c r="Q19" t="s">
        <v>331</v>
      </c>
      <c r="T19" t="str">
        <f t="shared" si="5"/>
        <v/>
      </c>
      <c r="U19" t="str">
        <f t="shared" si="6"/>
        <v/>
      </c>
    </row>
    <row r="20" spans="1:21">
      <c r="A20" t="s">
        <v>31</v>
      </c>
      <c r="B20">
        <v>10</v>
      </c>
      <c r="C20">
        <v>478500</v>
      </c>
      <c r="D20">
        <f t="shared" si="7"/>
        <v>1</v>
      </c>
      <c r="E20">
        <f t="shared" si="2"/>
        <v>4785000</v>
      </c>
      <c r="G20" t="s">
        <v>31</v>
      </c>
      <c r="H20" t="s">
        <v>338</v>
      </c>
      <c r="I20">
        <v>175</v>
      </c>
      <c r="J20">
        <f>IF(I20="","",IF(VLOOKUP(G20,$A$2:$E$140,2,FALSE)="",I20,I20*VLOOKUP(G20,$A$2:$E$140,2,FALSE)/VLOOKUP(G20,$A$2:$E$140,4,FALSE)))</f>
        <v>1750</v>
      </c>
      <c r="L20" t="s">
        <v>26</v>
      </c>
      <c r="M20" t="s">
        <v>357</v>
      </c>
      <c r="N20">
        <v>1.7000000000000001E-2</v>
      </c>
      <c r="O20">
        <f t="shared" si="4"/>
        <v>29.138000000000002</v>
      </c>
      <c r="Q20" t="s">
        <v>334</v>
      </c>
      <c r="T20" t="str">
        <f t="shared" si="5"/>
        <v/>
      </c>
      <c r="U20" t="str">
        <f t="shared" si="6"/>
        <v/>
      </c>
    </row>
    <row r="21" spans="1:21">
      <c r="A21" t="s">
        <v>33</v>
      </c>
      <c r="B21">
        <v>10</v>
      </c>
      <c r="C21">
        <v>478500</v>
      </c>
      <c r="D21">
        <f t="shared" si="7"/>
        <v>1</v>
      </c>
      <c r="E21">
        <f t="shared" si="2"/>
        <v>4785000</v>
      </c>
      <c r="G21" t="s">
        <v>33</v>
      </c>
      <c r="H21" t="s">
        <v>33</v>
      </c>
      <c r="J21" t="str">
        <f t="shared" si="3"/>
        <v/>
      </c>
      <c r="L21" t="s">
        <v>27</v>
      </c>
      <c r="M21" t="s">
        <v>321</v>
      </c>
      <c r="O21" t="str">
        <f t="shared" si="4"/>
        <v/>
      </c>
      <c r="Q21" t="s">
        <v>31</v>
      </c>
      <c r="R21">
        <v>10</v>
      </c>
      <c r="S21">
        <v>150000</v>
      </c>
      <c r="T21">
        <f t="shared" si="5"/>
        <v>1</v>
      </c>
      <c r="U21">
        <f t="shared" si="6"/>
        <v>1500000</v>
      </c>
    </row>
    <row r="22" spans="1:21">
      <c r="A22" t="s">
        <v>34</v>
      </c>
      <c r="B22">
        <v>10</v>
      </c>
      <c r="C22">
        <v>478500</v>
      </c>
      <c r="D22">
        <f t="shared" si="7"/>
        <v>1</v>
      </c>
      <c r="E22">
        <f t="shared" si="2"/>
        <v>4785000</v>
      </c>
      <c r="G22" t="s">
        <v>33</v>
      </c>
      <c r="H22" t="s">
        <v>339</v>
      </c>
      <c r="I22">
        <v>175</v>
      </c>
      <c r="J22">
        <f t="shared" si="3"/>
        <v>1750</v>
      </c>
      <c r="L22" t="s">
        <v>27</v>
      </c>
      <c r="M22" t="s">
        <v>347</v>
      </c>
      <c r="N22">
        <v>40</v>
      </c>
      <c r="O22">
        <f t="shared" si="4"/>
        <v>400</v>
      </c>
      <c r="Q22" t="s">
        <v>33</v>
      </c>
      <c r="R22">
        <v>10</v>
      </c>
      <c r="S22">
        <v>150000</v>
      </c>
      <c r="T22">
        <f t="shared" si="5"/>
        <v>1</v>
      </c>
      <c r="U22">
        <f t="shared" si="6"/>
        <v>1500000</v>
      </c>
    </row>
    <row r="23" spans="1:21">
      <c r="A23" t="s">
        <v>35</v>
      </c>
      <c r="B23">
        <v>44</v>
      </c>
      <c r="C23">
        <v>59.2</v>
      </c>
      <c r="D23">
        <f t="shared" si="7"/>
        <v>1</v>
      </c>
      <c r="E23">
        <f t="shared" si="2"/>
        <v>2604.8000000000002</v>
      </c>
      <c r="G23" t="s">
        <v>34</v>
      </c>
      <c r="H23" t="s">
        <v>34</v>
      </c>
      <c r="J23" t="str">
        <f t="shared" si="3"/>
        <v/>
      </c>
      <c r="L23" t="s">
        <v>29</v>
      </c>
      <c r="M23" t="s">
        <v>321</v>
      </c>
      <c r="O23" t="str">
        <f t="shared" si="4"/>
        <v/>
      </c>
      <c r="Q23" t="s">
        <v>34</v>
      </c>
      <c r="R23">
        <v>10</v>
      </c>
      <c r="S23">
        <v>150000</v>
      </c>
      <c r="T23">
        <f t="shared" si="5"/>
        <v>1</v>
      </c>
      <c r="U23">
        <f t="shared" si="6"/>
        <v>1500000</v>
      </c>
    </row>
    <row r="24" spans="1:21">
      <c r="A24" t="s">
        <v>36</v>
      </c>
      <c r="B24">
        <v>71</v>
      </c>
      <c r="C24">
        <v>59.2</v>
      </c>
      <c r="D24">
        <f t="shared" si="7"/>
        <v>1</v>
      </c>
      <c r="E24">
        <f t="shared" si="2"/>
        <v>4203.2</v>
      </c>
      <c r="G24" t="s">
        <v>34</v>
      </c>
      <c r="H24" t="s">
        <v>340</v>
      </c>
      <c r="I24">
        <v>175</v>
      </c>
      <c r="J24">
        <f t="shared" si="3"/>
        <v>1750</v>
      </c>
      <c r="L24" t="s">
        <v>29</v>
      </c>
      <c r="M24" t="s">
        <v>348</v>
      </c>
      <c r="N24">
        <v>40</v>
      </c>
      <c r="O24">
        <f t="shared" si="4"/>
        <v>400</v>
      </c>
      <c r="Q24" t="s">
        <v>41</v>
      </c>
      <c r="R24">
        <v>44</v>
      </c>
      <c r="S24">
        <v>7</v>
      </c>
      <c r="T24">
        <f t="shared" si="5"/>
        <v>1</v>
      </c>
      <c r="U24">
        <f t="shared" si="6"/>
        <v>308</v>
      </c>
    </row>
    <row r="25" spans="1:21">
      <c r="A25" t="s">
        <v>37</v>
      </c>
      <c r="B25">
        <v>537</v>
      </c>
      <c r="C25">
        <v>59.2</v>
      </c>
      <c r="D25">
        <f t="shared" si="7"/>
        <v>1</v>
      </c>
      <c r="E25">
        <f t="shared" si="2"/>
        <v>31790.400000000001</v>
      </c>
      <c r="G25" t="s">
        <v>35</v>
      </c>
      <c r="H25" t="s">
        <v>341</v>
      </c>
      <c r="I25">
        <v>0.08</v>
      </c>
      <c r="J25">
        <f t="shared" si="3"/>
        <v>3.52</v>
      </c>
      <c r="L25" t="s">
        <v>30</v>
      </c>
      <c r="M25" t="s">
        <v>321</v>
      </c>
      <c r="O25" t="str">
        <f t="shared" si="4"/>
        <v/>
      </c>
      <c r="Q25" t="s">
        <v>43</v>
      </c>
      <c r="R25">
        <v>279</v>
      </c>
      <c r="S25">
        <v>7</v>
      </c>
      <c r="T25">
        <f t="shared" si="5"/>
        <v>1</v>
      </c>
      <c r="U25">
        <f t="shared" si="6"/>
        <v>1953</v>
      </c>
    </row>
    <row r="26" spans="1:21">
      <c r="A26" t="s">
        <v>38</v>
      </c>
      <c r="B26">
        <v>279</v>
      </c>
      <c r="C26">
        <v>30.09</v>
      </c>
      <c r="D26">
        <f t="shared" si="7"/>
        <v>1</v>
      </c>
      <c r="E26">
        <f t="shared" si="2"/>
        <v>8395.11</v>
      </c>
      <c r="G26" t="s">
        <v>36</v>
      </c>
      <c r="H26" t="s">
        <v>342</v>
      </c>
      <c r="I26">
        <v>0.08</v>
      </c>
      <c r="J26">
        <f t="shared" si="3"/>
        <v>5.68</v>
      </c>
      <c r="L26" t="s">
        <v>30</v>
      </c>
      <c r="M26" t="s">
        <v>322</v>
      </c>
      <c r="N26">
        <v>40</v>
      </c>
      <c r="O26">
        <f t="shared" si="4"/>
        <v>400</v>
      </c>
      <c r="Q26" t="s">
        <v>44</v>
      </c>
      <c r="R26">
        <v>71</v>
      </c>
      <c r="S26">
        <v>7</v>
      </c>
      <c r="T26">
        <f t="shared" si="5"/>
        <v>1</v>
      </c>
      <c r="U26">
        <f t="shared" si="6"/>
        <v>497</v>
      </c>
    </row>
    <row r="27" spans="1:21">
      <c r="A27" t="s">
        <v>39</v>
      </c>
      <c r="B27">
        <v>530</v>
      </c>
      <c r="C27">
        <v>30.09</v>
      </c>
      <c r="D27">
        <f t="shared" si="7"/>
        <v>1</v>
      </c>
      <c r="E27">
        <f t="shared" si="2"/>
        <v>15947.7</v>
      </c>
      <c r="G27" t="s">
        <v>37</v>
      </c>
      <c r="H27" t="s">
        <v>343</v>
      </c>
      <c r="I27">
        <v>0.08</v>
      </c>
      <c r="J27">
        <f t="shared" si="3"/>
        <v>42.96</v>
      </c>
      <c r="L27" t="s">
        <v>31</v>
      </c>
      <c r="M27" t="s">
        <v>31</v>
      </c>
      <c r="O27" t="str">
        <f t="shared" si="4"/>
        <v/>
      </c>
      <c r="Q27" t="s">
        <v>45</v>
      </c>
      <c r="R27">
        <v>530</v>
      </c>
      <c r="S27">
        <v>7</v>
      </c>
      <c r="T27">
        <f t="shared" si="5"/>
        <v>1</v>
      </c>
      <c r="U27">
        <f t="shared" si="6"/>
        <v>3710</v>
      </c>
    </row>
    <row r="28" spans="1:21">
      <c r="A28" t="s">
        <v>40</v>
      </c>
      <c r="B28">
        <v>1714</v>
      </c>
      <c r="C28">
        <v>30.09</v>
      </c>
      <c r="D28">
        <f t="shared" si="7"/>
        <v>1</v>
      </c>
      <c r="E28">
        <f t="shared" si="2"/>
        <v>51574.26</v>
      </c>
      <c r="G28" t="s">
        <v>38</v>
      </c>
      <c r="H28" t="s">
        <v>344</v>
      </c>
      <c r="I28">
        <v>1.7000000000000001E-2</v>
      </c>
      <c r="J28">
        <f t="shared" si="3"/>
        <v>4.7430000000000003</v>
      </c>
      <c r="L28" t="s">
        <v>31</v>
      </c>
      <c r="M28" t="s">
        <v>338</v>
      </c>
      <c r="N28">
        <v>175</v>
      </c>
      <c r="O28">
        <f t="shared" si="4"/>
        <v>1750</v>
      </c>
      <c r="Q28" t="s">
        <v>46</v>
      </c>
      <c r="R28">
        <v>537</v>
      </c>
      <c r="S28">
        <v>7</v>
      </c>
      <c r="T28">
        <f t="shared" si="5"/>
        <v>1</v>
      </c>
      <c r="U28">
        <f t="shared" si="6"/>
        <v>3759</v>
      </c>
    </row>
    <row r="29" spans="1:21">
      <c r="A29" t="s">
        <v>41</v>
      </c>
      <c r="B29">
        <v>44</v>
      </c>
      <c r="C29">
        <v>6.2527920000000003</v>
      </c>
      <c r="D29">
        <f t="shared" si="7"/>
        <v>1</v>
      </c>
      <c r="E29">
        <f t="shared" si="2"/>
        <v>275.12284800000003</v>
      </c>
      <c r="G29" t="s">
        <v>39</v>
      </c>
      <c r="H29" t="s">
        <v>345</v>
      </c>
      <c r="I29">
        <v>1.7000000000000001E-2</v>
      </c>
      <c r="J29">
        <f t="shared" si="3"/>
        <v>9.01</v>
      </c>
      <c r="L29" t="s">
        <v>33</v>
      </c>
      <c r="M29" t="s">
        <v>33</v>
      </c>
      <c r="O29" t="str">
        <f t="shared" si="4"/>
        <v/>
      </c>
      <c r="Q29" t="s">
        <v>47</v>
      </c>
      <c r="R29">
        <v>1714</v>
      </c>
      <c r="S29">
        <v>7</v>
      </c>
      <c r="T29">
        <f t="shared" si="5"/>
        <v>1</v>
      </c>
      <c r="U29">
        <f t="shared" si="6"/>
        <v>11998</v>
      </c>
    </row>
    <row r="30" spans="1:21">
      <c r="A30" t="s">
        <v>43</v>
      </c>
      <c r="B30">
        <v>279</v>
      </c>
      <c r="C30">
        <v>6.2527920000000003</v>
      </c>
      <c r="D30">
        <f t="shared" si="7"/>
        <v>1</v>
      </c>
      <c r="E30">
        <f t="shared" si="2"/>
        <v>1744.5289680000001</v>
      </c>
      <c r="G30" t="s">
        <v>40</v>
      </c>
      <c r="H30" t="s">
        <v>346</v>
      </c>
      <c r="I30">
        <v>1.7000000000000001E-2</v>
      </c>
      <c r="J30">
        <f t="shared" si="3"/>
        <v>29.138000000000002</v>
      </c>
      <c r="L30" t="s">
        <v>33</v>
      </c>
      <c r="M30" t="s">
        <v>339</v>
      </c>
      <c r="N30">
        <v>175</v>
      </c>
      <c r="O30">
        <f t="shared" si="4"/>
        <v>1750</v>
      </c>
      <c r="Q30" t="s">
        <v>48</v>
      </c>
      <c r="R30">
        <v>10</v>
      </c>
      <c r="S30">
        <v>16.7</v>
      </c>
      <c r="T30">
        <f t="shared" si="5"/>
        <v>1</v>
      </c>
      <c r="U30">
        <f t="shared" si="6"/>
        <v>167</v>
      </c>
    </row>
    <row r="31" spans="1:21">
      <c r="A31" t="s">
        <v>44</v>
      </c>
      <c r="B31">
        <v>71</v>
      </c>
      <c r="C31">
        <v>6.2527920000000003</v>
      </c>
      <c r="D31">
        <f t="shared" si="7"/>
        <v>1</v>
      </c>
      <c r="E31">
        <f t="shared" si="2"/>
        <v>443.94823200000002</v>
      </c>
      <c r="G31" t="s">
        <v>41</v>
      </c>
      <c r="H31" t="s">
        <v>41</v>
      </c>
      <c r="J31" t="str">
        <f t="shared" si="3"/>
        <v/>
      </c>
      <c r="L31" t="s">
        <v>34</v>
      </c>
      <c r="M31" t="s">
        <v>34</v>
      </c>
      <c r="O31" t="str">
        <f t="shared" si="4"/>
        <v/>
      </c>
      <c r="Q31" t="s">
        <v>49</v>
      </c>
      <c r="R31">
        <v>10</v>
      </c>
      <c r="S31">
        <v>16.7</v>
      </c>
      <c r="T31">
        <f t="shared" si="5"/>
        <v>1</v>
      </c>
      <c r="U31">
        <f t="shared" si="6"/>
        <v>167</v>
      </c>
    </row>
    <row r="32" spans="1:21">
      <c r="A32" t="s">
        <v>45</v>
      </c>
      <c r="B32">
        <v>530</v>
      </c>
      <c r="C32">
        <v>6.2527920000000003</v>
      </c>
      <c r="D32">
        <f t="shared" si="7"/>
        <v>1</v>
      </c>
      <c r="E32">
        <f t="shared" si="2"/>
        <v>3313.9797600000002</v>
      </c>
      <c r="G32" t="s">
        <v>41</v>
      </c>
      <c r="H32" t="s">
        <v>341</v>
      </c>
      <c r="I32">
        <v>7</v>
      </c>
      <c r="J32">
        <f t="shared" si="3"/>
        <v>308</v>
      </c>
      <c r="L32" t="s">
        <v>34</v>
      </c>
      <c r="M32" t="s">
        <v>340</v>
      </c>
      <c r="N32">
        <v>175</v>
      </c>
      <c r="O32">
        <f t="shared" si="4"/>
        <v>1750</v>
      </c>
      <c r="Q32" t="s">
        <v>50</v>
      </c>
      <c r="R32">
        <v>10</v>
      </c>
      <c r="S32">
        <v>16.7</v>
      </c>
      <c r="T32">
        <f t="shared" si="5"/>
        <v>1</v>
      </c>
      <c r="U32">
        <f t="shared" si="6"/>
        <v>167</v>
      </c>
    </row>
    <row r="33" spans="1:21">
      <c r="A33" t="s">
        <v>46</v>
      </c>
      <c r="B33">
        <v>537</v>
      </c>
      <c r="C33">
        <v>6.2527920000000003</v>
      </c>
      <c r="D33">
        <f t="shared" si="7"/>
        <v>1</v>
      </c>
      <c r="E33">
        <f t="shared" si="2"/>
        <v>3357.7493040000004</v>
      </c>
      <c r="G33" t="s">
        <v>43</v>
      </c>
      <c r="H33" t="s">
        <v>43</v>
      </c>
      <c r="J33" t="str">
        <f t="shared" si="3"/>
        <v/>
      </c>
      <c r="L33" t="s">
        <v>35</v>
      </c>
      <c r="M33" t="s">
        <v>352</v>
      </c>
      <c r="O33" t="str">
        <f t="shared" si="4"/>
        <v/>
      </c>
      <c r="Q33" t="s">
        <v>358</v>
      </c>
      <c r="T33" t="str">
        <f t="shared" si="5"/>
        <v/>
      </c>
      <c r="U33" t="str">
        <f t="shared" si="6"/>
        <v/>
      </c>
    </row>
    <row r="34" spans="1:21">
      <c r="A34" t="s">
        <v>47</v>
      </c>
      <c r="B34">
        <v>1714</v>
      </c>
      <c r="C34">
        <v>6.2527920000000003</v>
      </c>
      <c r="D34">
        <f t="shared" si="7"/>
        <v>1</v>
      </c>
      <c r="E34">
        <f t="shared" si="2"/>
        <v>10717.285488000001</v>
      </c>
      <c r="G34" t="s">
        <v>43</v>
      </c>
      <c r="H34" t="s">
        <v>344</v>
      </c>
      <c r="I34">
        <v>7</v>
      </c>
      <c r="J34">
        <f t="shared" si="3"/>
        <v>1953</v>
      </c>
      <c r="L34" t="s">
        <v>36</v>
      </c>
      <c r="M34" t="s">
        <v>354</v>
      </c>
      <c r="O34" t="str">
        <f t="shared" si="4"/>
        <v/>
      </c>
      <c r="Q34" t="s">
        <v>361</v>
      </c>
      <c r="T34" t="str">
        <f t="shared" si="5"/>
        <v/>
      </c>
      <c r="U34" t="str">
        <f t="shared" si="6"/>
        <v/>
      </c>
    </row>
    <row r="35" spans="1:21">
      <c r="A35" t="s">
        <v>48</v>
      </c>
      <c r="B35">
        <v>10</v>
      </c>
      <c r="C35">
        <v>1018.7</v>
      </c>
      <c r="D35">
        <f t="shared" si="7"/>
        <v>1</v>
      </c>
      <c r="E35">
        <f t="shared" si="2"/>
        <v>10187</v>
      </c>
      <c r="G35" t="s">
        <v>44</v>
      </c>
      <c r="H35" t="s">
        <v>44</v>
      </c>
      <c r="J35" t="str">
        <f t="shared" si="3"/>
        <v/>
      </c>
      <c r="L35" t="s">
        <v>37</v>
      </c>
      <c r="M35" t="s">
        <v>356</v>
      </c>
      <c r="O35" t="str">
        <f t="shared" si="4"/>
        <v/>
      </c>
      <c r="Q35" t="s">
        <v>359</v>
      </c>
      <c r="T35" t="str">
        <f t="shared" si="5"/>
        <v/>
      </c>
      <c r="U35" t="str">
        <f t="shared" si="6"/>
        <v/>
      </c>
    </row>
    <row r="36" spans="1:21">
      <c r="A36" t="s">
        <v>49</v>
      </c>
      <c r="B36">
        <v>10</v>
      </c>
      <c r="C36">
        <v>1018.7</v>
      </c>
      <c r="D36">
        <f t="shared" si="7"/>
        <v>1</v>
      </c>
      <c r="E36">
        <f t="shared" si="2"/>
        <v>10187</v>
      </c>
      <c r="G36" t="s">
        <v>44</v>
      </c>
      <c r="H36" t="s">
        <v>342</v>
      </c>
      <c r="I36">
        <v>7</v>
      </c>
      <c r="J36">
        <f t="shared" si="3"/>
        <v>497</v>
      </c>
      <c r="L36" t="s">
        <v>38</v>
      </c>
      <c r="M36" t="s">
        <v>353</v>
      </c>
      <c r="O36" t="str">
        <f t="shared" si="4"/>
        <v/>
      </c>
      <c r="Q36" t="s">
        <v>362</v>
      </c>
      <c r="T36" t="str">
        <f t="shared" si="5"/>
        <v/>
      </c>
      <c r="U36" t="str">
        <f t="shared" si="6"/>
        <v/>
      </c>
    </row>
    <row r="37" spans="1:21">
      <c r="A37" t="s">
        <v>50</v>
      </c>
      <c r="B37">
        <v>10</v>
      </c>
      <c r="C37">
        <v>1018.7</v>
      </c>
      <c r="D37">
        <f t="shared" si="7"/>
        <v>1</v>
      </c>
      <c r="E37">
        <f t="shared" si="2"/>
        <v>10187</v>
      </c>
      <c r="G37" t="s">
        <v>45</v>
      </c>
      <c r="H37" t="s">
        <v>45</v>
      </c>
      <c r="J37" t="str">
        <f t="shared" si="3"/>
        <v/>
      </c>
      <c r="L37" t="s">
        <v>39</v>
      </c>
      <c r="M37" t="s">
        <v>355</v>
      </c>
      <c r="O37" t="str">
        <f t="shared" si="4"/>
        <v/>
      </c>
      <c r="Q37" t="s">
        <v>360</v>
      </c>
      <c r="T37" t="str">
        <f t="shared" si="5"/>
        <v/>
      </c>
      <c r="U37" t="str">
        <f t="shared" si="6"/>
        <v/>
      </c>
    </row>
    <row r="38" spans="1:21">
      <c r="A38" t="s">
        <v>54</v>
      </c>
      <c r="B38">
        <v>5</v>
      </c>
      <c r="C38">
        <v>55000</v>
      </c>
      <c r="D38">
        <f t="shared" si="7"/>
        <v>1</v>
      </c>
      <c r="E38">
        <f t="shared" si="2"/>
        <v>275000</v>
      </c>
      <c r="G38" t="s">
        <v>45</v>
      </c>
      <c r="H38" t="s">
        <v>345</v>
      </c>
      <c r="I38">
        <v>7</v>
      </c>
      <c r="J38">
        <f t="shared" si="3"/>
        <v>3710</v>
      </c>
      <c r="L38" t="s">
        <v>40</v>
      </c>
      <c r="M38" t="s">
        <v>357</v>
      </c>
      <c r="O38" t="str">
        <f t="shared" si="4"/>
        <v/>
      </c>
      <c r="Q38" t="s">
        <v>363</v>
      </c>
      <c r="T38" t="str">
        <f t="shared" si="5"/>
        <v/>
      </c>
      <c r="U38" t="str">
        <f t="shared" si="6"/>
        <v/>
      </c>
    </row>
    <row r="39" spans="1:21">
      <c r="A39" t="s">
        <v>55</v>
      </c>
      <c r="B39">
        <v>5</v>
      </c>
      <c r="C39">
        <v>55000</v>
      </c>
      <c r="D39">
        <f t="shared" si="7"/>
        <v>1</v>
      </c>
      <c r="E39">
        <f t="shared" si="2"/>
        <v>275000</v>
      </c>
      <c r="G39" t="s">
        <v>46</v>
      </c>
      <c r="H39" t="s">
        <v>46</v>
      </c>
      <c r="J39" t="str">
        <f t="shared" si="3"/>
        <v/>
      </c>
      <c r="L39" t="s">
        <v>41</v>
      </c>
      <c r="M39" t="s">
        <v>41</v>
      </c>
      <c r="O39" t="str">
        <f t="shared" si="4"/>
        <v/>
      </c>
      <c r="Q39" t="s">
        <v>101</v>
      </c>
      <c r="R39">
        <v>10</v>
      </c>
      <c r="S39">
        <v>175</v>
      </c>
      <c r="T39">
        <f t="shared" si="5"/>
        <v>1</v>
      </c>
      <c r="U39">
        <f t="shared" si="6"/>
        <v>1750</v>
      </c>
    </row>
    <row r="40" spans="1:21">
      <c r="A40" t="s">
        <v>56</v>
      </c>
      <c r="B40">
        <v>5</v>
      </c>
      <c r="C40">
        <v>55000</v>
      </c>
      <c r="D40">
        <f t="shared" si="7"/>
        <v>1</v>
      </c>
      <c r="E40">
        <f t="shared" si="2"/>
        <v>275000</v>
      </c>
      <c r="G40" t="s">
        <v>46</v>
      </c>
      <c r="H40" t="s">
        <v>343</v>
      </c>
      <c r="I40">
        <v>7</v>
      </c>
      <c r="J40">
        <f t="shared" si="3"/>
        <v>3759</v>
      </c>
      <c r="L40" t="s">
        <v>41</v>
      </c>
      <c r="M40" t="s">
        <v>341</v>
      </c>
      <c r="N40">
        <v>2</v>
      </c>
      <c r="O40">
        <f t="shared" si="4"/>
        <v>88</v>
      </c>
      <c r="Q40" t="s">
        <v>102</v>
      </c>
      <c r="R40">
        <v>10</v>
      </c>
      <c r="S40">
        <v>175</v>
      </c>
      <c r="T40">
        <f t="shared" si="5"/>
        <v>1</v>
      </c>
      <c r="U40">
        <f t="shared" si="6"/>
        <v>1750</v>
      </c>
    </row>
    <row r="41" spans="1:21">
      <c r="A41" t="s">
        <v>51</v>
      </c>
      <c r="B41">
        <v>44</v>
      </c>
      <c r="C41">
        <v>1750</v>
      </c>
      <c r="D41">
        <f t="shared" si="7"/>
        <v>1</v>
      </c>
      <c r="E41">
        <f t="shared" si="2"/>
        <v>77000</v>
      </c>
      <c r="G41" t="s">
        <v>47</v>
      </c>
      <c r="H41" t="s">
        <v>47</v>
      </c>
      <c r="J41" t="str">
        <f t="shared" si="3"/>
        <v/>
      </c>
      <c r="L41" t="s">
        <v>43</v>
      </c>
      <c r="M41" t="s">
        <v>43</v>
      </c>
      <c r="O41" t="str">
        <f t="shared" si="4"/>
        <v/>
      </c>
      <c r="Q41" t="s">
        <v>103</v>
      </c>
      <c r="R41">
        <v>10</v>
      </c>
      <c r="S41">
        <v>175</v>
      </c>
      <c r="T41">
        <f t="shared" si="5"/>
        <v>1</v>
      </c>
      <c r="U41">
        <f t="shared" si="6"/>
        <v>1750</v>
      </c>
    </row>
    <row r="42" spans="1:21">
      <c r="A42" t="s">
        <v>52</v>
      </c>
      <c r="B42">
        <v>71</v>
      </c>
      <c r="C42">
        <v>1750</v>
      </c>
      <c r="D42">
        <f t="shared" si="7"/>
        <v>1</v>
      </c>
      <c r="E42">
        <f t="shared" si="2"/>
        <v>124250</v>
      </c>
      <c r="G42" t="s">
        <v>47</v>
      </c>
      <c r="H42" t="s">
        <v>346</v>
      </c>
      <c r="I42">
        <v>7</v>
      </c>
      <c r="J42">
        <f t="shared" si="3"/>
        <v>11998</v>
      </c>
      <c r="L42" t="s">
        <v>43</v>
      </c>
      <c r="M42" t="s">
        <v>344</v>
      </c>
      <c r="N42">
        <v>2</v>
      </c>
      <c r="O42">
        <f t="shared" si="4"/>
        <v>558</v>
      </c>
      <c r="Q42" t="s">
        <v>94</v>
      </c>
      <c r="R42">
        <v>44</v>
      </c>
      <c r="S42">
        <v>3.0000000000000001E-3</v>
      </c>
      <c r="T42">
        <f t="shared" si="5"/>
        <v>1</v>
      </c>
      <c r="U42">
        <f t="shared" si="6"/>
        <v>0.13200000000000001</v>
      </c>
    </row>
    <row r="43" spans="1:21">
      <c r="A43" t="s">
        <v>53</v>
      </c>
      <c r="B43">
        <v>537</v>
      </c>
      <c r="C43">
        <v>1750</v>
      </c>
      <c r="D43">
        <f t="shared" si="7"/>
        <v>1</v>
      </c>
      <c r="E43">
        <f t="shared" si="2"/>
        <v>939750</v>
      </c>
      <c r="G43" t="s">
        <v>48</v>
      </c>
      <c r="H43" t="s">
        <v>48</v>
      </c>
      <c r="J43" t="str">
        <f t="shared" si="3"/>
        <v/>
      </c>
      <c r="L43" t="s">
        <v>44</v>
      </c>
      <c r="M43" t="s">
        <v>44</v>
      </c>
      <c r="O43" t="str">
        <f t="shared" si="4"/>
        <v/>
      </c>
      <c r="Q43" t="s">
        <v>96</v>
      </c>
      <c r="R43">
        <v>279</v>
      </c>
      <c r="S43">
        <v>3.0000000000000001E-3</v>
      </c>
      <c r="T43">
        <f t="shared" si="5"/>
        <v>1</v>
      </c>
      <c r="U43">
        <f t="shared" si="6"/>
        <v>0.83699999999999997</v>
      </c>
    </row>
    <row r="44" spans="1:21">
      <c r="A44" t="s">
        <v>57</v>
      </c>
      <c r="B44">
        <v>44</v>
      </c>
      <c r="C44">
        <v>1140</v>
      </c>
      <c r="D44">
        <f t="shared" si="7"/>
        <v>1</v>
      </c>
      <c r="E44">
        <f t="shared" si="2"/>
        <v>50160</v>
      </c>
      <c r="G44" t="s">
        <v>48</v>
      </c>
      <c r="H44" t="s">
        <v>338</v>
      </c>
      <c r="I44">
        <v>9.5000000000000001E-2</v>
      </c>
      <c r="J44">
        <f t="shared" si="3"/>
        <v>0.95</v>
      </c>
      <c r="L44" t="s">
        <v>44</v>
      </c>
      <c r="M44" t="s">
        <v>342</v>
      </c>
      <c r="N44">
        <v>2</v>
      </c>
      <c r="O44">
        <f t="shared" si="4"/>
        <v>142</v>
      </c>
      <c r="Q44" t="s">
        <v>97</v>
      </c>
      <c r="R44">
        <v>71</v>
      </c>
      <c r="S44">
        <v>3.0000000000000001E-3</v>
      </c>
      <c r="T44">
        <f t="shared" si="5"/>
        <v>1</v>
      </c>
      <c r="U44">
        <f t="shared" si="6"/>
        <v>0.21299999999999999</v>
      </c>
    </row>
    <row r="45" spans="1:21">
      <c r="A45" t="s">
        <v>58</v>
      </c>
      <c r="B45">
        <v>71</v>
      </c>
      <c r="C45">
        <v>1140</v>
      </c>
      <c r="D45">
        <f t="shared" si="7"/>
        <v>1</v>
      </c>
      <c r="E45">
        <f t="shared" si="2"/>
        <v>80940</v>
      </c>
      <c r="G45" t="s">
        <v>49</v>
      </c>
      <c r="H45" t="s">
        <v>49</v>
      </c>
      <c r="J45" t="str">
        <f t="shared" si="3"/>
        <v/>
      </c>
      <c r="L45" t="s">
        <v>45</v>
      </c>
      <c r="M45" t="s">
        <v>45</v>
      </c>
      <c r="O45" t="str">
        <f t="shared" si="4"/>
        <v/>
      </c>
      <c r="Q45" t="s">
        <v>98</v>
      </c>
      <c r="R45">
        <v>530</v>
      </c>
      <c r="S45">
        <v>3.0000000000000001E-3</v>
      </c>
      <c r="T45">
        <f t="shared" si="5"/>
        <v>1</v>
      </c>
      <c r="U45">
        <f t="shared" si="6"/>
        <v>1.59</v>
      </c>
    </row>
    <row r="46" spans="1:21">
      <c r="A46" t="s">
        <v>59</v>
      </c>
      <c r="B46">
        <v>537</v>
      </c>
      <c r="C46">
        <v>1140</v>
      </c>
      <c r="D46">
        <f t="shared" si="7"/>
        <v>1</v>
      </c>
      <c r="E46">
        <f t="shared" si="2"/>
        <v>612180</v>
      </c>
      <c r="G46" t="s">
        <v>49</v>
      </c>
      <c r="H46" t="s">
        <v>339</v>
      </c>
      <c r="I46">
        <v>9.5000000000000001E-2</v>
      </c>
      <c r="J46">
        <f t="shared" si="3"/>
        <v>0.95</v>
      </c>
      <c r="L46" t="s">
        <v>45</v>
      </c>
      <c r="M46" t="s">
        <v>345</v>
      </c>
      <c r="N46">
        <v>2</v>
      </c>
      <c r="O46">
        <f t="shared" si="4"/>
        <v>1060</v>
      </c>
      <c r="Q46" t="s">
        <v>99</v>
      </c>
      <c r="R46">
        <v>537</v>
      </c>
      <c r="S46">
        <v>3.0000000000000001E-3</v>
      </c>
      <c r="T46">
        <f t="shared" si="5"/>
        <v>1</v>
      </c>
      <c r="U46">
        <f t="shared" si="6"/>
        <v>1.611</v>
      </c>
    </row>
    <row r="47" spans="1:21">
      <c r="A47" t="s">
        <v>63</v>
      </c>
      <c r="B47">
        <v>5</v>
      </c>
      <c r="C47">
        <v>76000</v>
      </c>
      <c r="D47">
        <f t="shared" si="7"/>
        <v>1</v>
      </c>
      <c r="E47">
        <f t="shared" si="2"/>
        <v>380000</v>
      </c>
      <c r="G47" t="s">
        <v>50</v>
      </c>
      <c r="H47" t="s">
        <v>50</v>
      </c>
      <c r="J47" t="str">
        <f t="shared" si="3"/>
        <v/>
      </c>
      <c r="L47" t="s">
        <v>46</v>
      </c>
      <c r="M47" t="s">
        <v>46</v>
      </c>
      <c r="O47" t="str">
        <f t="shared" si="4"/>
        <v/>
      </c>
      <c r="Q47" t="s">
        <v>100</v>
      </c>
      <c r="R47">
        <v>1714</v>
      </c>
      <c r="S47">
        <v>3.0000000000000001E-3</v>
      </c>
      <c r="T47">
        <f t="shared" si="5"/>
        <v>1</v>
      </c>
      <c r="U47">
        <f t="shared" si="6"/>
        <v>5.1420000000000003</v>
      </c>
    </row>
    <row r="48" spans="1:21">
      <c r="A48" t="s">
        <v>64</v>
      </c>
      <c r="B48">
        <v>5</v>
      </c>
      <c r="C48">
        <v>76000</v>
      </c>
      <c r="D48">
        <f t="shared" si="7"/>
        <v>1</v>
      </c>
      <c r="E48">
        <f t="shared" si="2"/>
        <v>380000</v>
      </c>
      <c r="G48" t="s">
        <v>50</v>
      </c>
      <c r="H48" t="s">
        <v>340</v>
      </c>
      <c r="I48">
        <v>9.5000000000000001E-2</v>
      </c>
      <c r="J48">
        <f t="shared" si="3"/>
        <v>0.95</v>
      </c>
      <c r="L48" t="s">
        <v>46</v>
      </c>
      <c r="M48" t="s">
        <v>343</v>
      </c>
      <c r="N48">
        <v>2</v>
      </c>
      <c r="O48">
        <f t="shared" si="4"/>
        <v>1074</v>
      </c>
      <c r="Q48" t="s">
        <v>341</v>
      </c>
      <c r="T48" t="str">
        <f t="shared" si="5"/>
        <v/>
      </c>
      <c r="U48" t="str">
        <f t="shared" si="6"/>
        <v/>
      </c>
    </row>
    <row r="49" spans="1:21">
      <c r="A49" t="s">
        <v>65</v>
      </c>
      <c r="B49">
        <v>5</v>
      </c>
      <c r="C49">
        <v>76000</v>
      </c>
      <c r="D49">
        <f t="shared" si="7"/>
        <v>1</v>
      </c>
      <c r="E49">
        <f t="shared" si="2"/>
        <v>380000</v>
      </c>
      <c r="G49" t="s">
        <v>54</v>
      </c>
      <c r="H49" t="s">
        <v>347</v>
      </c>
      <c r="I49">
        <v>100</v>
      </c>
      <c r="J49">
        <f t="shared" si="3"/>
        <v>500</v>
      </c>
      <c r="L49" t="s">
        <v>47</v>
      </c>
      <c r="M49" t="s">
        <v>47</v>
      </c>
      <c r="O49" t="str">
        <f t="shared" si="4"/>
        <v/>
      </c>
      <c r="Q49" t="s">
        <v>344</v>
      </c>
      <c r="T49" t="str">
        <f t="shared" si="5"/>
        <v/>
      </c>
      <c r="U49" t="str">
        <f t="shared" si="6"/>
        <v/>
      </c>
    </row>
    <row r="50" spans="1:21">
      <c r="A50" t="s">
        <v>60</v>
      </c>
      <c r="B50">
        <v>44</v>
      </c>
      <c r="C50">
        <v>1169</v>
      </c>
      <c r="D50">
        <f t="shared" si="7"/>
        <v>1</v>
      </c>
      <c r="E50">
        <f t="shared" si="2"/>
        <v>51436</v>
      </c>
      <c r="G50" t="s">
        <v>55</v>
      </c>
      <c r="H50" t="s">
        <v>348</v>
      </c>
      <c r="I50">
        <v>100</v>
      </c>
      <c r="J50">
        <f t="shared" si="3"/>
        <v>500</v>
      </c>
      <c r="L50" t="s">
        <v>47</v>
      </c>
      <c r="M50" t="s">
        <v>346</v>
      </c>
      <c r="N50">
        <v>2</v>
      </c>
      <c r="O50">
        <f t="shared" si="4"/>
        <v>3428</v>
      </c>
      <c r="Q50" t="s">
        <v>338</v>
      </c>
      <c r="T50" t="str">
        <f t="shared" si="5"/>
        <v/>
      </c>
      <c r="U50" t="str">
        <f t="shared" si="6"/>
        <v/>
      </c>
    </row>
    <row r="51" spans="1:21">
      <c r="A51" t="s">
        <v>61</v>
      </c>
      <c r="B51">
        <v>71</v>
      </c>
      <c r="C51">
        <v>1169</v>
      </c>
      <c r="D51">
        <f t="shared" si="7"/>
        <v>1</v>
      </c>
      <c r="E51">
        <f t="shared" si="2"/>
        <v>82999</v>
      </c>
      <c r="G51" t="s">
        <v>56</v>
      </c>
      <c r="H51" t="s">
        <v>322</v>
      </c>
      <c r="I51">
        <v>100</v>
      </c>
      <c r="J51">
        <f t="shared" si="3"/>
        <v>500</v>
      </c>
      <c r="L51" t="s">
        <v>48</v>
      </c>
      <c r="M51" t="s">
        <v>48</v>
      </c>
      <c r="O51" t="str">
        <f t="shared" si="4"/>
        <v/>
      </c>
      <c r="Q51" t="s">
        <v>339</v>
      </c>
      <c r="T51" t="str">
        <f t="shared" si="5"/>
        <v/>
      </c>
      <c r="U51" t="str">
        <f t="shared" si="6"/>
        <v/>
      </c>
    </row>
    <row r="52" spans="1:21">
      <c r="A52" t="s">
        <v>62</v>
      </c>
      <c r="B52">
        <v>537</v>
      </c>
      <c r="C52">
        <v>1169</v>
      </c>
      <c r="D52">
        <f t="shared" si="7"/>
        <v>1</v>
      </c>
      <c r="E52">
        <f t="shared" si="2"/>
        <v>627753</v>
      </c>
      <c r="G52" t="s">
        <v>51</v>
      </c>
      <c r="H52" t="s">
        <v>323</v>
      </c>
      <c r="I52">
        <v>2</v>
      </c>
      <c r="J52">
        <f t="shared" si="3"/>
        <v>88</v>
      </c>
      <c r="L52" t="s">
        <v>48</v>
      </c>
      <c r="M52" t="s">
        <v>338</v>
      </c>
      <c r="N52">
        <v>9.5000000000000001E-2</v>
      </c>
      <c r="O52">
        <f t="shared" si="4"/>
        <v>0.95</v>
      </c>
      <c r="Q52" t="s">
        <v>340</v>
      </c>
      <c r="T52" t="str">
        <f t="shared" si="5"/>
        <v/>
      </c>
      <c r="U52" t="str">
        <f t="shared" si="6"/>
        <v/>
      </c>
    </row>
    <row r="53" spans="1:21">
      <c r="A53" t="s">
        <v>66</v>
      </c>
      <c r="B53">
        <v>44</v>
      </c>
      <c r="C53">
        <v>1725</v>
      </c>
      <c r="D53">
        <f t="shared" si="7"/>
        <v>1</v>
      </c>
      <c r="E53">
        <f t="shared" si="2"/>
        <v>75900</v>
      </c>
      <c r="G53" t="s">
        <v>52</v>
      </c>
      <c r="H53" t="s">
        <v>324</v>
      </c>
      <c r="I53">
        <v>2</v>
      </c>
      <c r="J53">
        <f t="shared" si="3"/>
        <v>142</v>
      </c>
      <c r="L53" t="s">
        <v>49</v>
      </c>
      <c r="M53" t="s">
        <v>49</v>
      </c>
      <c r="O53" t="str">
        <f t="shared" si="4"/>
        <v/>
      </c>
      <c r="Q53" t="s">
        <v>342</v>
      </c>
      <c r="T53" t="str">
        <f t="shared" si="5"/>
        <v/>
      </c>
      <c r="U53" t="str">
        <f t="shared" si="6"/>
        <v/>
      </c>
    </row>
    <row r="54" spans="1:21">
      <c r="A54" t="s">
        <v>67</v>
      </c>
      <c r="B54">
        <v>71</v>
      </c>
      <c r="C54">
        <v>1725</v>
      </c>
      <c r="D54">
        <f t="shared" si="7"/>
        <v>1</v>
      </c>
      <c r="E54">
        <f t="shared" si="2"/>
        <v>122475</v>
      </c>
      <c r="G54" t="s">
        <v>53</v>
      </c>
      <c r="H54" t="s">
        <v>325</v>
      </c>
      <c r="I54">
        <v>2</v>
      </c>
      <c r="J54">
        <f t="shared" si="3"/>
        <v>1074</v>
      </c>
      <c r="L54" t="s">
        <v>49</v>
      </c>
      <c r="M54" t="s">
        <v>339</v>
      </c>
      <c r="N54">
        <v>9.5000000000000001E-2</v>
      </c>
      <c r="O54">
        <f t="shared" si="4"/>
        <v>0.95</v>
      </c>
      <c r="Q54" t="s">
        <v>345</v>
      </c>
      <c r="T54" t="str">
        <f t="shared" si="5"/>
        <v/>
      </c>
      <c r="U54" t="str">
        <f t="shared" si="6"/>
        <v/>
      </c>
    </row>
    <row r="55" spans="1:21">
      <c r="A55" t="s">
        <v>68</v>
      </c>
      <c r="B55">
        <v>537</v>
      </c>
      <c r="C55">
        <v>1725</v>
      </c>
      <c r="D55">
        <f t="shared" si="7"/>
        <v>1</v>
      </c>
      <c r="E55">
        <f t="shared" si="2"/>
        <v>926325</v>
      </c>
      <c r="G55" t="s">
        <v>57</v>
      </c>
      <c r="H55" t="s">
        <v>323</v>
      </c>
      <c r="I55">
        <v>1.2</v>
      </c>
      <c r="J55">
        <f t="shared" si="3"/>
        <v>52.8</v>
      </c>
      <c r="L55" t="s">
        <v>50</v>
      </c>
      <c r="M55" t="s">
        <v>50</v>
      </c>
      <c r="O55" t="str">
        <f t="shared" si="4"/>
        <v/>
      </c>
      <c r="Q55" t="s">
        <v>343</v>
      </c>
      <c r="T55" t="str">
        <f t="shared" si="5"/>
        <v/>
      </c>
      <c r="U55" t="str">
        <f t="shared" si="6"/>
        <v/>
      </c>
    </row>
    <row r="56" spans="1:21">
      <c r="A56" t="s">
        <v>69</v>
      </c>
      <c r="B56">
        <v>44</v>
      </c>
      <c r="C56">
        <v>2126</v>
      </c>
      <c r="D56">
        <f t="shared" si="7"/>
        <v>1</v>
      </c>
      <c r="E56">
        <f t="shared" si="2"/>
        <v>93544</v>
      </c>
      <c r="G56" t="s">
        <v>58</v>
      </c>
      <c r="H56" t="s">
        <v>324</v>
      </c>
      <c r="I56">
        <v>1.2</v>
      </c>
      <c r="J56">
        <f t="shared" si="3"/>
        <v>85.2</v>
      </c>
      <c r="L56" t="s">
        <v>50</v>
      </c>
      <c r="M56" t="s">
        <v>340</v>
      </c>
      <c r="N56">
        <v>9.5000000000000001E-2</v>
      </c>
      <c r="O56">
        <f t="shared" si="4"/>
        <v>0.95</v>
      </c>
      <c r="Q56" t="s">
        <v>346</v>
      </c>
      <c r="T56" t="str">
        <f t="shared" si="5"/>
        <v/>
      </c>
      <c r="U56" t="str">
        <f t="shared" si="6"/>
        <v/>
      </c>
    </row>
    <row r="57" spans="1:21">
      <c r="A57" t="s">
        <v>70</v>
      </c>
      <c r="B57">
        <v>71</v>
      </c>
      <c r="C57">
        <v>2126</v>
      </c>
      <c r="D57">
        <f t="shared" si="7"/>
        <v>1</v>
      </c>
      <c r="E57">
        <f t="shared" si="2"/>
        <v>150946</v>
      </c>
      <c r="G57" t="s">
        <v>59</v>
      </c>
      <c r="H57" t="s">
        <v>325</v>
      </c>
      <c r="I57">
        <v>1.2</v>
      </c>
      <c r="J57">
        <f t="shared" si="3"/>
        <v>644.4</v>
      </c>
      <c r="L57" t="s">
        <v>54</v>
      </c>
      <c r="M57" t="s">
        <v>338</v>
      </c>
      <c r="O57" t="str">
        <f t="shared" si="4"/>
        <v/>
      </c>
      <c r="Q57" t="s">
        <v>104</v>
      </c>
      <c r="R57">
        <v>50</v>
      </c>
      <c r="S57">
        <v>8</v>
      </c>
      <c r="T57">
        <f t="shared" si="5"/>
        <v>1</v>
      </c>
      <c r="U57">
        <f t="shared" si="6"/>
        <v>400</v>
      </c>
    </row>
    <row r="58" spans="1:21">
      <c r="A58" t="s">
        <v>71</v>
      </c>
      <c r="B58">
        <v>537</v>
      </c>
      <c r="C58">
        <v>2126</v>
      </c>
      <c r="D58">
        <f t="shared" si="7"/>
        <v>1</v>
      </c>
      <c r="E58">
        <f t="shared" si="2"/>
        <v>1141662</v>
      </c>
      <c r="G58" t="s">
        <v>63</v>
      </c>
      <c r="H58" t="s">
        <v>338</v>
      </c>
      <c r="J58" t="str">
        <f t="shared" si="3"/>
        <v/>
      </c>
      <c r="L58" t="s">
        <v>54</v>
      </c>
      <c r="M58" t="s">
        <v>349</v>
      </c>
      <c r="O58" t="str">
        <f t="shared" si="4"/>
        <v/>
      </c>
      <c r="Q58" t="s">
        <v>106</v>
      </c>
      <c r="R58">
        <v>50</v>
      </c>
      <c r="S58">
        <v>8</v>
      </c>
      <c r="T58">
        <f t="shared" si="5"/>
        <v>1</v>
      </c>
      <c r="U58">
        <f t="shared" si="6"/>
        <v>400</v>
      </c>
    </row>
    <row r="59" spans="1:21">
      <c r="A59" t="s">
        <v>72</v>
      </c>
      <c r="B59">
        <v>44</v>
      </c>
      <c r="C59">
        <v>200</v>
      </c>
      <c r="D59">
        <f t="shared" si="7"/>
        <v>1</v>
      </c>
      <c r="E59">
        <f t="shared" si="2"/>
        <v>8800</v>
      </c>
      <c r="G59" t="s">
        <v>64</v>
      </c>
      <c r="H59" t="s">
        <v>339</v>
      </c>
      <c r="J59" t="str">
        <f t="shared" si="3"/>
        <v/>
      </c>
      <c r="L59" t="s">
        <v>55</v>
      </c>
      <c r="M59" t="s">
        <v>339</v>
      </c>
      <c r="O59" t="str">
        <f t="shared" si="4"/>
        <v/>
      </c>
      <c r="Q59" t="s">
        <v>107</v>
      </c>
      <c r="R59">
        <v>50</v>
      </c>
      <c r="S59">
        <v>8</v>
      </c>
      <c r="T59">
        <f t="shared" si="5"/>
        <v>1</v>
      </c>
      <c r="U59">
        <f t="shared" si="6"/>
        <v>400</v>
      </c>
    </row>
    <row r="60" spans="1:21">
      <c r="A60" t="s">
        <v>74</v>
      </c>
      <c r="B60">
        <v>71</v>
      </c>
      <c r="C60">
        <v>200</v>
      </c>
      <c r="D60">
        <f t="shared" si="7"/>
        <v>1</v>
      </c>
      <c r="E60">
        <f t="shared" si="2"/>
        <v>14200</v>
      </c>
      <c r="G60" t="s">
        <v>65</v>
      </c>
      <c r="H60" t="s">
        <v>340</v>
      </c>
      <c r="J60" t="str">
        <f t="shared" si="3"/>
        <v/>
      </c>
      <c r="L60" t="s">
        <v>55</v>
      </c>
      <c r="M60" t="s">
        <v>350</v>
      </c>
      <c r="O60" t="str">
        <f t="shared" si="4"/>
        <v/>
      </c>
      <c r="Q60" t="s">
        <v>108</v>
      </c>
      <c r="R60">
        <v>10</v>
      </c>
      <c r="S60">
        <v>300</v>
      </c>
      <c r="T60">
        <f t="shared" si="5"/>
        <v>1</v>
      </c>
      <c r="U60">
        <f t="shared" si="6"/>
        <v>3000</v>
      </c>
    </row>
    <row r="61" spans="1:21">
      <c r="A61" t="s">
        <v>75</v>
      </c>
      <c r="B61">
        <v>537</v>
      </c>
      <c r="C61">
        <v>200</v>
      </c>
      <c r="D61">
        <f t="shared" si="7"/>
        <v>1</v>
      </c>
      <c r="E61">
        <f t="shared" si="2"/>
        <v>107400</v>
      </c>
      <c r="G61" t="s">
        <v>60</v>
      </c>
      <c r="H61" t="s">
        <v>341</v>
      </c>
      <c r="J61" t="str">
        <f t="shared" si="3"/>
        <v/>
      </c>
      <c r="L61" t="s">
        <v>56</v>
      </c>
      <c r="M61" t="s">
        <v>340</v>
      </c>
      <c r="O61" t="str">
        <f t="shared" si="4"/>
        <v/>
      </c>
      <c r="Q61" t="s">
        <v>109</v>
      </c>
      <c r="R61">
        <v>10</v>
      </c>
      <c r="S61">
        <v>300</v>
      </c>
      <c r="T61">
        <f t="shared" si="5"/>
        <v>1</v>
      </c>
      <c r="U61">
        <f t="shared" si="6"/>
        <v>3000</v>
      </c>
    </row>
    <row r="62" spans="1:21">
      <c r="A62" t="s">
        <v>76</v>
      </c>
      <c r="B62">
        <v>279</v>
      </c>
      <c r="C62">
        <v>71.400000000000006</v>
      </c>
      <c r="D62">
        <f t="shared" si="7"/>
        <v>1</v>
      </c>
      <c r="E62">
        <f t="shared" si="2"/>
        <v>19920.600000000002</v>
      </c>
      <c r="G62" t="s">
        <v>61</v>
      </c>
      <c r="H62" t="s">
        <v>342</v>
      </c>
      <c r="J62" t="str">
        <f t="shared" si="3"/>
        <v/>
      </c>
      <c r="L62" t="s">
        <v>56</v>
      </c>
      <c r="M62" t="s">
        <v>351</v>
      </c>
      <c r="O62" t="str">
        <f t="shared" si="4"/>
        <v/>
      </c>
      <c r="Q62" t="s">
        <v>110</v>
      </c>
      <c r="R62">
        <v>10</v>
      </c>
      <c r="S62">
        <v>300</v>
      </c>
      <c r="T62">
        <f t="shared" si="5"/>
        <v>1</v>
      </c>
      <c r="U62">
        <f t="shared" si="6"/>
        <v>3000</v>
      </c>
    </row>
    <row r="63" spans="1:21">
      <c r="A63" t="s">
        <v>77</v>
      </c>
      <c r="B63">
        <v>530</v>
      </c>
      <c r="C63">
        <v>71.400000000000006</v>
      </c>
      <c r="D63">
        <f t="shared" si="7"/>
        <v>1</v>
      </c>
      <c r="E63">
        <f t="shared" si="2"/>
        <v>37842</v>
      </c>
      <c r="G63" t="s">
        <v>62</v>
      </c>
      <c r="H63" t="s">
        <v>343</v>
      </c>
      <c r="J63" t="str">
        <f t="shared" si="3"/>
        <v/>
      </c>
      <c r="L63" t="s">
        <v>51</v>
      </c>
      <c r="M63" t="s">
        <v>341</v>
      </c>
      <c r="O63" t="str">
        <f t="shared" si="4"/>
        <v/>
      </c>
      <c r="Q63" t="s">
        <v>111</v>
      </c>
      <c r="R63">
        <v>10</v>
      </c>
      <c r="S63">
        <v>4.1500000000000004</v>
      </c>
      <c r="T63">
        <f t="shared" si="5"/>
        <v>1</v>
      </c>
      <c r="U63">
        <f t="shared" si="6"/>
        <v>41.5</v>
      </c>
    </row>
    <row r="64" spans="1:21">
      <c r="A64" t="s">
        <v>78</v>
      </c>
      <c r="B64">
        <v>1714</v>
      </c>
      <c r="C64">
        <v>71.400000000000006</v>
      </c>
      <c r="D64">
        <f t="shared" si="7"/>
        <v>1</v>
      </c>
      <c r="E64">
        <f t="shared" si="2"/>
        <v>122379.6</v>
      </c>
      <c r="G64" t="s">
        <v>66</v>
      </c>
      <c r="H64" t="s">
        <v>323</v>
      </c>
      <c r="I64">
        <v>1</v>
      </c>
      <c r="J64">
        <f t="shared" si="3"/>
        <v>44</v>
      </c>
      <c r="L64" t="s">
        <v>51</v>
      </c>
      <c r="M64" t="s">
        <v>352</v>
      </c>
      <c r="O64" t="str">
        <f t="shared" si="4"/>
        <v/>
      </c>
      <c r="Q64" t="s">
        <v>112</v>
      </c>
      <c r="R64">
        <v>10</v>
      </c>
      <c r="S64">
        <v>4.1500000000000004</v>
      </c>
      <c r="T64">
        <f t="shared" si="5"/>
        <v>1</v>
      </c>
      <c r="U64">
        <f t="shared" si="6"/>
        <v>41.5</v>
      </c>
    </row>
    <row r="65" spans="1:21">
      <c r="A65" t="s">
        <v>79</v>
      </c>
      <c r="B65">
        <v>100</v>
      </c>
      <c r="C65">
        <v>700</v>
      </c>
      <c r="D65">
        <f t="shared" si="7"/>
        <v>1</v>
      </c>
      <c r="E65">
        <f t="shared" si="2"/>
        <v>70000</v>
      </c>
      <c r="G65" t="s">
        <v>67</v>
      </c>
      <c r="H65" t="s">
        <v>324</v>
      </c>
      <c r="I65">
        <v>1</v>
      </c>
      <c r="J65">
        <f t="shared" si="3"/>
        <v>71</v>
      </c>
      <c r="L65" t="s">
        <v>52</v>
      </c>
      <c r="M65" t="s">
        <v>342</v>
      </c>
      <c r="O65" t="str">
        <f t="shared" si="4"/>
        <v/>
      </c>
      <c r="Q65" t="s">
        <v>113</v>
      </c>
      <c r="R65">
        <v>10</v>
      </c>
      <c r="S65">
        <v>4.1500000000000004</v>
      </c>
      <c r="T65">
        <f t="shared" si="5"/>
        <v>1</v>
      </c>
      <c r="U65">
        <f t="shared" si="6"/>
        <v>41.5</v>
      </c>
    </row>
    <row r="66" spans="1:21">
      <c r="A66" t="s">
        <v>81</v>
      </c>
      <c r="B66">
        <v>100</v>
      </c>
      <c r="C66">
        <v>700</v>
      </c>
      <c r="D66">
        <f t="shared" si="7"/>
        <v>1</v>
      </c>
      <c r="E66">
        <f t="shared" si="2"/>
        <v>70000</v>
      </c>
      <c r="G66" t="s">
        <v>68</v>
      </c>
      <c r="H66" t="s">
        <v>325</v>
      </c>
      <c r="I66">
        <v>1</v>
      </c>
      <c r="J66">
        <f t="shared" si="3"/>
        <v>537</v>
      </c>
      <c r="L66" t="s">
        <v>52</v>
      </c>
      <c r="M66" t="s">
        <v>354</v>
      </c>
      <c r="O66" t="str">
        <f t="shared" si="4"/>
        <v/>
      </c>
      <c r="Q66" t="s">
        <v>126</v>
      </c>
      <c r="R66">
        <v>10</v>
      </c>
      <c r="S66">
        <v>4500</v>
      </c>
      <c r="T66">
        <f t="shared" si="5"/>
        <v>1</v>
      </c>
      <c r="U66">
        <f t="shared" si="6"/>
        <v>45000</v>
      </c>
    </row>
    <row r="67" spans="1:21">
      <c r="A67" t="s">
        <v>82</v>
      </c>
      <c r="B67">
        <v>100</v>
      </c>
      <c r="C67">
        <v>700</v>
      </c>
      <c r="D67">
        <f t="shared" ref="D67:D130" si="8">IF(B67="","",1)</f>
        <v>1</v>
      </c>
      <c r="E67">
        <f t="shared" ref="E67:E130" si="9">IF(D67="","",C67*B67/D67)</f>
        <v>70000</v>
      </c>
      <c r="G67" t="s">
        <v>69</v>
      </c>
      <c r="H67" t="s">
        <v>341</v>
      </c>
      <c r="J67" t="str">
        <f t="shared" ref="J67:J130" si="10">IF(I67="","",IF(VLOOKUP(G67,$A$2:$E$140,2,FALSE)="",I67,I67*VLOOKUP(G67,$A$2:$E$140,2,FALSE)/VLOOKUP(G67,$A$2:$E$140,4,FALSE)))</f>
        <v/>
      </c>
      <c r="L67" t="s">
        <v>53</v>
      </c>
      <c r="M67" t="s">
        <v>343</v>
      </c>
      <c r="O67" t="str">
        <f t="shared" ref="O67:O130" si="11">IF(N67="","",IF(VLOOKUP(L67,$A$2:$E$140,2,FALSE)="",N67,N67*VLOOKUP(L67,$A$2:$E$140,2,FALSE)/VLOOKUP(L67,$A$2:$E$140,4,FALSE)))</f>
        <v/>
      </c>
      <c r="Q67" t="s">
        <v>127</v>
      </c>
      <c r="R67">
        <v>10</v>
      </c>
      <c r="S67">
        <v>4500</v>
      </c>
      <c r="T67">
        <f t="shared" ref="T67:T92" si="12">IF(R67="","",1)</f>
        <v>1</v>
      </c>
      <c r="U67">
        <f t="shared" ref="U67:U92" si="13">IF(T67="","",S67*R67/T67)</f>
        <v>45000</v>
      </c>
    </row>
    <row r="68" spans="1:21">
      <c r="A68" t="s">
        <v>83</v>
      </c>
      <c r="B68">
        <v>44</v>
      </c>
      <c r="C68">
        <v>432</v>
      </c>
      <c r="D68">
        <f t="shared" si="8"/>
        <v>1</v>
      </c>
      <c r="E68">
        <f t="shared" si="9"/>
        <v>19008</v>
      </c>
      <c r="G68" t="s">
        <v>70</v>
      </c>
      <c r="H68" t="s">
        <v>342</v>
      </c>
      <c r="J68" t="str">
        <f t="shared" si="10"/>
        <v/>
      </c>
      <c r="L68" t="s">
        <v>53</v>
      </c>
      <c r="M68" t="s">
        <v>356</v>
      </c>
      <c r="O68" t="str">
        <f t="shared" si="11"/>
        <v/>
      </c>
      <c r="Q68" t="s">
        <v>128</v>
      </c>
      <c r="R68">
        <v>10</v>
      </c>
      <c r="S68">
        <v>4500</v>
      </c>
      <c r="T68">
        <f t="shared" si="12"/>
        <v>1</v>
      </c>
      <c r="U68">
        <f t="shared" si="13"/>
        <v>45000</v>
      </c>
    </row>
    <row r="69" spans="1:21">
      <c r="A69" t="s">
        <v>85</v>
      </c>
      <c r="B69">
        <v>71</v>
      </c>
      <c r="C69">
        <v>432</v>
      </c>
      <c r="D69">
        <f t="shared" si="8"/>
        <v>1</v>
      </c>
      <c r="E69">
        <f t="shared" si="9"/>
        <v>30672</v>
      </c>
      <c r="G69" t="s">
        <v>71</v>
      </c>
      <c r="H69" t="s">
        <v>343</v>
      </c>
      <c r="J69" t="str">
        <f t="shared" si="10"/>
        <v/>
      </c>
      <c r="L69" t="s">
        <v>57</v>
      </c>
      <c r="M69" t="s">
        <v>341</v>
      </c>
      <c r="O69" t="str">
        <f t="shared" si="11"/>
        <v/>
      </c>
      <c r="Q69" t="s">
        <v>370</v>
      </c>
      <c r="T69" t="str">
        <f t="shared" si="12"/>
        <v/>
      </c>
      <c r="U69" t="str">
        <f t="shared" si="13"/>
        <v/>
      </c>
    </row>
    <row r="70" spans="1:21">
      <c r="A70" t="s">
        <v>86</v>
      </c>
      <c r="B70">
        <v>537</v>
      </c>
      <c r="C70">
        <v>432</v>
      </c>
      <c r="D70">
        <f t="shared" si="8"/>
        <v>1</v>
      </c>
      <c r="E70">
        <f t="shared" si="9"/>
        <v>231984</v>
      </c>
      <c r="G70" t="s">
        <v>72</v>
      </c>
      <c r="H70" t="s">
        <v>323</v>
      </c>
      <c r="J70" t="str">
        <f t="shared" si="10"/>
        <v/>
      </c>
      <c r="L70" t="s">
        <v>57</v>
      </c>
      <c r="M70" t="s">
        <v>352</v>
      </c>
      <c r="O70" t="str">
        <f t="shared" si="11"/>
        <v/>
      </c>
      <c r="Q70" t="s">
        <v>371</v>
      </c>
      <c r="T70" t="str">
        <f t="shared" si="12"/>
        <v/>
      </c>
      <c r="U70" t="str">
        <f t="shared" si="13"/>
        <v/>
      </c>
    </row>
    <row r="71" spans="1:21">
      <c r="A71" t="s">
        <v>87</v>
      </c>
      <c r="B71">
        <v>279</v>
      </c>
      <c r="C71">
        <v>122.4</v>
      </c>
      <c r="D71">
        <f t="shared" si="8"/>
        <v>1</v>
      </c>
      <c r="E71">
        <f t="shared" si="9"/>
        <v>34149.599999999999</v>
      </c>
      <c r="G71" t="s">
        <v>74</v>
      </c>
      <c r="H71" t="s">
        <v>324</v>
      </c>
      <c r="J71" t="str">
        <f t="shared" si="10"/>
        <v/>
      </c>
      <c r="L71" t="s">
        <v>58</v>
      </c>
      <c r="M71" t="s">
        <v>342</v>
      </c>
      <c r="O71" t="str">
        <f t="shared" si="11"/>
        <v/>
      </c>
      <c r="Q71" t="s">
        <v>372</v>
      </c>
      <c r="T71" t="str">
        <f t="shared" si="12"/>
        <v/>
      </c>
      <c r="U71" t="str">
        <f t="shared" si="13"/>
        <v/>
      </c>
    </row>
    <row r="72" spans="1:21">
      <c r="A72" t="s">
        <v>88</v>
      </c>
      <c r="B72">
        <v>530</v>
      </c>
      <c r="C72">
        <v>122.4</v>
      </c>
      <c r="D72">
        <f t="shared" si="8"/>
        <v>1</v>
      </c>
      <c r="E72">
        <f t="shared" si="9"/>
        <v>64872</v>
      </c>
      <c r="G72" t="s">
        <v>75</v>
      </c>
      <c r="H72" t="s">
        <v>325</v>
      </c>
      <c r="J72" t="str">
        <f t="shared" si="10"/>
        <v/>
      </c>
      <c r="L72" t="s">
        <v>58</v>
      </c>
      <c r="M72" t="s">
        <v>354</v>
      </c>
      <c r="O72" t="str">
        <f t="shared" si="11"/>
        <v/>
      </c>
      <c r="Q72" t="s">
        <v>352</v>
      </c>
      <c r="T72" t="str">
        <f t="shared" si="12"/>
        <v/>
      </c>
      <c r="U72" t="str">
        <f t="shared" si="13"/>
        <v/>
      </c>
    </row>
    <row r="73" spans="1:21">
      <c r="A73" t="s">
        <v>89</v>
      </c>
      <c r="B73">
        <v>1714</v>
      </c>
      <c r="C73">
        <v>122.4</v>
      </c>
      <c r="D73">
        <f t="shared" si="8"/>
        <v>1</v>
      </c>
      <c r="E73">
        <f t="shared" si="9"/>
        <v>209793.6</v>
      </c>
      <c r="G73" t="s">
        <v>76</v>
      </c>
      <c r="H73" t="s">
        <v>326</v>
      </c>
      <c r="J73" t="str">
        <f t="shared" si="10"/>
        <v/>
      </c>
      <c r="L73" t="s">
        <v>59</v>
      </c>
      <c r="M73" t="s">
        <v>343</v>
      </c>
      <c r="O73" t="str">
        <f t="shared" si="11"/>
        <v/>
      </c>
      <c r="Q73" t="s">
        <v>353</v>
      </c>
      <c r="T73" t="str">
        <f t="shared" si="12"/>
        <v/>
      </c>
      <c r="U73" t="str">
        <f t="shared" si="13"/>
        <v/>
      </c>
    </row>
    <row r="74" spans="1:21">
      <c r="A74" t="s">
        <v>90</v>
      </c>
      <c r="B74">
        <v>100</v>
      </c>
      <c r="C74">
        <v>500</v>
      </c>
      <c r="D74">
        <f t="shared" si="8"/>
        <v>1</v>
      </c>
      <c r="E74">
        <f t="shared" si="9"/>
        <v>50000</v>
      </c>
      <c r="G74" t="s">
        <v>77</v>
      </c>
      <c r="H74" t="s">
        <v>327</v>
      </c>
      <c r="J74" t="str">
        <f t="shared" si="10"/>
        <v/>
      </c>
      <c r="L74" t="s">
        <v>59</v>
      </c>
      <c r="M74" t="s">
        <v>356</v>
      </c>
      <c r="O74" t="str">
        <f t="shared" si="11"/>
        <v/>
      </c>
      <c r="Q74" t="s">
        <v>349</v>
      </c>
      <c r="T74" t="str">
        <f t="shared" si="12"/>
        <v/>
      </c>
      <c r="U74" t="str">
        <f t="shared" si="13"/>
        <v/>
      </c>
    </row>
    <row r="75" spans="1:21">
      <c r="A75" t="s">
        <v>92</v>
      </c>
      <c r="B75">
        <v>100</v>
      </c>
      <c r="C75">
        <v>500</v>
      </c>
      <c r="D75">
        <f t="shared" si="8"/>
        <v>1</v>
      </c>
      <c r="E75">
        <f t="shared" si="9"/>
        <v>50000</v>
      </c>
      <c r="G75" t="s">
        <v>78</v>
      </c>
      <c r="H75" t="s">
        <v>328</v>
      </c>
      <c r="J75" t="str">
        <f t="shared" si="10"/>
        <v/>
      </c>
      <c r="L75" t="s">
        <v>63</v>
      </c>
      <c r="M75" t="s">
        <v>347</v>
      </c>
      <c r="N75">
        <v>100</v>
      </c>
      <c r="O75">
        <f t="shared" si="11"/>
        <v>500</v>
      </c>
      <c r="Q75" t="s">
        <v>350</v>
      </c>
      <c r="T75" t="str">
        <f t="shared" si="12"/>
        <v/>
      </c>
      <c r="U75" t="str">
        <f t="shared" si="13"/>
        <v/>
      </c>
    </row>
    <row r="76" spans="1:21">
      <c r="A76" t="s">
        <v>93</v>
      </c>
      <c r="B76">
        <v>100</v>
      </c>
      <c r="C76">
        <v>500</v>
      </c>
      <c r="D76">
        <f t="shared" si="8"/>
        <v>1</v>
      </c>
      <c r="E76">
        <f t="shared" si="9"/>
        <v>50000</v>
      </c>
      <c r="G76" t="s">
        <v>79</v>
      </c>
      <c r="H76" t="s">
        <v>347</v>
      </c>
      <c r="J76" t="str">
        <f t="shared" si="10"/>
        <v/>
      </c>
      <c r="L76" t="s">
        <v>63</v>
      </c>
      <c r="M76" t="s">
        <v>349</v>
      </c>
      <c r="O76" t="str">
        <f t="shared" si="11"/>
        <v/>
      </c>
      <c r="Q76" t="s">
        <v>351</v>
      </c>
      <c r="T76" t="str">
        <f t="shared" si="12"/>
        <v/>
      </c>
      <c r="U76" t="str">
        <f t="shared" si="13"/>
        <v/>
      </c>
    </row>
    <row r="77" spans="1:21">
      <c r="A77" t="s">
        <v>101</v>
      </c>
      <c r="B77">
        <v>10</v>
      </c>
      <c r="C77">
        <v>525</v>
      </c>
      <c r="D77">
        <f t="shared" si="8"/>
        <v>1</v>
      </c>
      <c r="E77">
        <f t="shared" si="9"/>
        <v>5250</v>
      </c>
      <c r="G77" t="s">
        <v>81</v>
      </c>
      <c r="H77" t="s">
        <v>348</v>
      </c>
      <c r="J77" t="str">
        <f t="shared" si="10"/>
        <v/>
      </c>
      <c r="L77" t="s">
        <v>64</v>
      </c>
      <c r="M77" t="s">
        <v>348</v>
      </c>
      <c r="N77">
        <v>100</v>
      </c>
      <c r="O77">
        <f t="shared" si="11"/>
        <v>500</v>
      </c>
      <c r="Q77" t="s">
        <v>354</v>
      </c>
      <c r="T77" t="str">
        <f t="shared" si="12"/>
        <v/>
      </c>
      <c r="U77" t="str">
        <f t="shared" si="13"/>
        <v/>
      </c>
    </row>
    <row r="78" spans="1:21">
      <c r="A78" t="s">
        <v>102</v>
      </c>
      <c r="B78">
        <v>10</v>
      </c>
      <c r="C78">
        <v>525</v>
      </c>
      <c r="D78">
        <f t="shared" si="8"/>
        <v>1</v>
      </c>
      <c r="E78">
        <f t="shared" si="9"/>
        <v>5250</v>
      </c>
      <c r="G78" t="s">
        <v>82</v>
      </c>
      <c r="H78" t="s">
        <v>322</v>
      </c>
      <c r="J78" t="str">
        <f t="shared" si="10"/>
        <v/>
      </c>
      <c r="L78" t="s">
        <v>64</v>
      </c>
      <c r="M78" t="s">
        <v>350</v>
      </c>
      <c r="O78" t="str">
        <f t="shared" si="11"/>
        <v/>
      </c>
      <c r="Q78" t="s">
        <v>355</v>
      </c>
      <c r="T78" t="str">
        <f t="shared" si="12"/>
        <v/>
      </c>
      <c r="U78" t="str">
        <f t="shared" si="13"/>
        <v/>
      </c>
    </row>
    <row r="79" spans="1:21">
      <c r="A79" t="s">
        <v>103</v>
      </c>
      <c r="B79">
        <v>10</v>
      </c>
      <c r="C79">
        <v>525</v>
      </c>
      <c r="D79">
        <f t="shared" si="8"/>
        <v>1</v>
      </c>
      <c r="E79">
        <f t="shared" si="9"/>
        <v>5250</v>
      </c>
      <c r="G79" t="s">
        <v>83</v>
      </c>
      <c r="H79" t="s">
        <v>323</v>
      </c>
      <c r="J79" t="str">
        <f t="shared" si="10"/>
        <v/>
      </c>
      <c r="L79" t="s">
        <v>65</v>
      </c>
      <c r="M79" t="s">
        <v>322</v>
      </c>
      <c r="N79">
        <v>100</v>
      </c>
      <c r="O79">
        <f t="shared" si="11"/>
        <v>500</v>
      </c>
      <c r="Q79" t="s">
        <v>356</v>
      </c>
      <c r="T79" t="str">
        <f t="shared" si="12"/>
        <v/>
      </c>
      <c r="U79" t="str">
        <f t="shared" si="13"/>
        <v/>
      </c>
    </row>
    <row r="80" spans="1:21">
      <c r="A80" t="s">
        <v>94</v>
      </c>
      <c r="B80">
        <v>44</v>
      </c>
      <c r="C80">
        <v>1.26</v>
      </c>
      <c r="D80">
        <f t="shared" si="8"/>
        <v>1</v>
      </c>
      <c r="E80">
        <f t="shared" si="9"/>
        <v>55.44</v>
      </c>
      <c r="G80" t="s">
        <v>85</v>
      </c>
      <c r="H80" t="s">
        <v>324</v>
      </c>
      <c r="J80" t="str">
        <f t="shared" si="10"/>
        <v/>
      </c>
      <c r="L80" t="s">
        <v>65</v>
      </c>
      <c r="M80" t="s">
        <v>351</v>
      </c>
      <c r="O80" t="str">
        <f t="shared" si="11"/>
        <v/>
      </c>
      <c r="Q80" t="s">
        <v>357</v>
      </c>
      <c r="T80" t="str">
        <f t="shared" si="12"/>
        <v/>
      </c>
      <c r="U80" t="str">
        <f t="shared" si="13"/>
        <v/>
      </c>
    </row>
    <row r="81" spans="1:21">
      <c r="A81" t="s">
        <v>96</v>
      </c>
      <c r="B81">
        <v>279</v>
      </c>
      <c r="C81">
        <v>1.26</v>
      </c>
      <c r="D81">
        <f t="shared" si="8"/>
        <v>1</v>
      </c>
      <c r="E81">
        <f t="shared" si="9"/>
        <v>351.54</v>
      </c>
      <c r="G81" t="s">
        <v>86</v>
      </c>
      <c r="H81" t="s">
        <v>325</v>
      </c>
      <c r="J81" t="str">
        <f t="shared" si="10"/>
        <v/>
      </c>
      <c r="L81" t="s">
        <v>60</v>
      </c>
      <c r="M81" t="s">
        <v>323</v>
      </c>
      <c r="N81">
        <v>1</v>
      </c>
      <c r="O81">
        <f t="shared" si="11"/>
        <v>44</v>
      </c>
      <c r="Q81" t="s">
        <v>137</v>
      </c>
      <c r="R81">
        <v>44</v>
      </c>
      <c r="S81">
        <v>2</v>
      </c>
      <c r="T81">
        <f t="shared" si="12"/>
        <v>1</v>
      </c>
      <c r="U81">
        <f t="shared" si="13"/>
        <v>88</v>
      </c>
    </row>
    <row r="82" spans="1:21">
      <c r="A82" t="s">
        <v>97</v>
      </c>
      <c r="B82">
        <v>71</v>
      </c>
      <c r="C82">
        <v>1.26</v>
      </c>
      <c r="D82">
        <f t="shared" si="8"/>
        <v>1</v>
      </c>
      <c r="E82">
        <f t="shared" si="9"/>
        <v>89.46</v>
      </c>
      <c r="G82" t="s">
        <v>87</v>
      </c>
      <c r="H82" t="s">
        <v>326</v>
      </c>
      <c r="J82" t="str">
        <f t="shared" si="10"/>
        <v/>
      </c>
      <c r="L82" t="s">
        <v>60</v>
      </c>
      <c r="M82" t="s">
        <v>352</v>
      </c>
      <c r="O82" t="str">
        <f t="shared" si="11"/>
        <v/>
      </c>
      <c r="Q82" t="s">
        <v>139</v>
      </c>
      <c r="R82">
        <v>279</v>
      </c>
      <c r="S82">
        <v>2</v>
      </c>
      <c r="T82">
        <f t="shared" si="12"/>
        <v>1</v>
      </c>
      <c r="U82">
        <f t="shared" si="13"/>
        <v>558</v>
      </c>
    </row>
    <row r="83" spans="1:21">
      <c r="A83" t="s">
        <v>98</v>
      </c>
      <c r="B83">
        <v>530</v>
      </c>
      <c r="C83">
        <v>1.26</v>
      </c>
      <c r="D83">
        <f t="shared" si="8"/>
        <v>1</v>
      </c>
      <c r="E83">
        <f t="shared" si="9"/>
        <v>667.8</v>
      </c>
      <c r="G83" t="s">
        <v>88</v>
      </c>
      <c r="H83" t="s">
        <v>327</v>
      </c>
      <c r="J83" t="str">
        <f t="shared" si="10"/>
        <v/>
      </c>
      <c r="L83" t="s">
        <v>61</v>
      </c>
      <c r="M83" t="s">
        <v>324</v>
      </c>
      <c r="N83">
        <v>1</v>
      </c>
      <c r="O83">
        <f t="shared" si="11"/>
        <v>71</v>
      </c>
      <c r="Q83" t="s">
        <v>140</v>
      </c>
      <c r="R83">
        <v>71</v>
      </c>
      <c r="S83">
        <v>2</v>
      </c>
      <c r="T83">
        <f t="shared" si="12"/>
        <v>1</v>
      </c>
      <c r="U83">
        <f t="shared" si="13"/>
        <v>142</v>
      </c>
    </row>
    <row r="84" spans="1:21">
      <c r="A84" t="s">
        <v>99</v>
      </c>
      <c r="B84">
        <v>537</v>
      </c>
      <c r="C84">
        <v>1.26</v>
      </c>
      <c r="D84">
        <f t="shared" si="8"/>
        <v>1</v>
      </c>
      <c r="E84">
        <f t="shared" si="9"/>
        <v>676.62</v>
      </c>
      <c r="G84" t="s">
        <v>89</v>
      </c>
      <c r="H84" t="s">
        <v>328</v>
      </c>
      <c r="J84" t="str">
        <f t="shared" si="10"/>
        <v/>
      </c>
      <c r="L84" t="s">
        <v>61</v>
      </c>
      <c r="M84" t="s">
        <v>354</v>
      </c>
      <c r="O84" t="str">
        <f t="shared" si="11"/>
        <v/>
      </c>
      <c r="Q84" t="s">
        <v>141</v>
      </c>
      <c r="R84">
        <v>530</v>
      </c>
      <c r="S84">
        <v>2</v>
      </c>
      <c r="T84">
        <f t="shared" si="12"/>
        <v>1</v>
      </c>
      <c r="U84">
        <f t="shared" si="13"/>
        <v>1060</v>
      </c>
    </row>
    <row r="85" spans="1:21">
      <c r="A85" t="s">
        <v>100</v>
      </c>
      <c r="B85">
        <v>1714</v>
      </c>
      <c r="C85">
        <v>1.26</v>
      </c>
      <c r="D85">
        <f t="shared" si="8"/>
        <v>1</v>
      </c>
      <c r="E85">
        <f t="shared" si="9"/>
        <v>2159.64</v>
      </c>
      <c r="G85" t="s">
        <v>90</v>
      </c>
      <c r="H85" t="s">
        <v>347</v>
      </c>
      <c r="J85" t="str">
        <f t="shared" si="10"/>
        <v/>
      </c>
      <c r="L85" t="s">
        <v>62</v>
      </c>
      <c r="M85" t="s">
        <v>325</v>
      </c>
      <c r="N85">
        <v>1</v>
      </c>
      <c r="O85">
        <f t="shared" si="11"/>
        <v>537</v>
      </c>
      <c r="Q85" t="s">
        <v>142</v>
      </c>
      <c r="R85">
        <v>537</v>
      </c>
      <c r="S85">
        <v>2</v>
      </c>
      <c r="T85">
        <f t="shared" si="12"/>
        <v>1</v>
      </c>
      <c r="U85">
        <f t="shared" si="13"/>
        <v>1074</v>
      </c>
    </row>
    <row r="86" spans="1:21">
      <c r="A86" t="s">
        <v>104</v>
      </c>
      <c r="B86">
        <v>50</v>
      </c>
      <c r="C86">
        <v>8800</v>
      </c>
      <c r="D86">
        <f t="shared" si="8"/>
        <v>1</v>
      </c>
      <c r="E86">
        <f t="shared" si="9"/>
        <v>440000</v>
      </c>
      <c r="G86" t="s">
        <v>92</v>
      </c>
      <c r="H86" t="s">
        <v>348</v>
      </c>
      <c r="J86" t="str">
        <f t="shared" si="10"/>
        <v/>
      </c>
      <c r="L86" t="s">
        <v>62</v>
      </c>
      <c r="M86" t="s">
        <v>356</v>
      </c>
      <c r="O86" t="str">
        <f t="shared" si="11"/>
        <v/>
      </c>
      <c r="Q86" t="s">
        <v>143</v>
      </c>
      <c r="R86">
        <v>1714</v>
      </c>
      <c r="S86">
        <v>2</v>
      </c>
      <c r="T86">
        <f t="shared" si="12"/>
        <v>1</v>
      </c>
      <c r="U86">
        <f t="shared" si="13"/>
        <v>3428</v>
      </c>
    </row>
    <row r="87" spans="1:21">
      <c r="A87" t="s">
        <v>106</v>
      </c>
      <c r="B87">
        <v>50</v>
      </c>
      <c r="C87">
        <v>8800</v>
      </c>
      <c r="D87">
        <f t="shared" si="8"/>
        <v>1</v>
      </c>
      <c r="E87">
        <f t="shared" si="9"/>
        <v>440000</v>
      </c>
      <c r="G87" t="s">
        <v>93</v>
      </c>
      <c r="H87" t="s">
        <v>322</v>
      </c>
      <c r="J87" t="str">
        <f t="shared" si="10"/>
        <v/>
      </c>
      <c r="L87" t="s">
        <v>66</v>
      </c>
      <c r="M87" t="s">
        <v>341</v>
      </c>
      <c r="O87" t="str">
        <f t="shared" si="11"/>
        <v/>
      </c>
      <c r="Q87" t="s">
        <v>364</v>
      </c>
      <c r="T87" t="str">
        <f t="shared" si="12"/>
        <v/>
      </c>
      <c r="U87" t="str">
        <f t="shared" si="13"/>
        <v/>
      </c>
    </row>
    <row r="88" spans="1:21">
      <c r="A88" t="s">
        <v>107</v>
      </c>
      <c r="B88">
        <v>50</v>
      </c>
      <c r="C88">
        <v>8800</v>
      </c>
      <c r="D88">
        <f t="shared" si="8"/>
        <v>1</v>
      </c>
      <c r="E88">
        <f t="shared" si="9"/>
        <v>440000</v>
      </c>
      <c r="G88" t="s">
        <v>101</v>
      </c>
      <c r="H88" t="s">
        <v>101</v>
      </c>
      <c r="J88" t="str">
        <f t="shared" si="10"/>
        <v/>
      </c>
      <c r="L88" t="s">
        <v>67</v>
      </c>
      <c r="M88" t="s">
        <v>342</v>
      </c>
      <c r="O88" t="str">
        <f t="shared" si="11"/>
        <v/>
      </c>
      <c r="Q88" t="s">
        <v>367</v>
      </c>
      <c r="T88" t="str">
        <f t="shared" si="12"/>
        <v/>
      </c>
      <c r="U88" t="str">
        <f t="shared" si="13"/>
        <v/>
      </c>
    </row>
    <row r="89" spans="1:21">
      <c r="A89" t="s">
        <v>108</v>
      </c>
      <c r="B89">
        <v>10</v>
      </c>
      <c r="C89">
        <v>117900</v>
      </c>
      <c r="D89">
        <f t="shared" si="8"/>
        <v>1</v>
      </c>
      <c r="E89">
        <f t="shared" si="9"/>
        <v>1179000</v>
      </c>
      <c r="G89" t="s">
        <v>101</v>
      </c>
      <c r="H89" t="s">
        <v>349</v>
      </c>
      <c r="I89">
        <v>2.9</v>
      </c>
      <c r="J89">
        <f t="shared" si="10"/>
        <v>29</v>
      </c>
      <c r="L89" t="s">
        <v>68</v>
      </c>
      <c r="M89" t="s">
        <v>343</v>
      </c>
      <c r="O89" t="str">
        <f t="shared" si="11"/>
        <v/>
      </c>
      <c r="Q89" t="s">
        <v>365</v>
      </c>
      <c r="T89" t="str">
        <f t="shared" si="12"/>
        <v/>
      </c>
      <c r="U89" t="str">
        <f t="shared" si="13"/>
        <v/>
      </c>
    </row>
    <row r="90" spans="1:21">
      <c r="A90" t="s">
        <v>109</v>
      </c>
      <c r="B90">
        <v>10</v>
      </c>
      <c r="C90">
        <v>117900</v>
      </c>
      <c r="D90">
        <f t="shared" si="8"/>
        <v>1</v>
      </c>
      <c r="E90">
        <f t="shared" si="9"/>
        <v>1179000</v>
      </c>
      <c r="G90" t="s">
        <v>102</v>
      </c>
      <c r="H90" t="s">
        <v>102</v>
      </c>
      <c r="J90" t="str">
        <f t="shared" si="10"/>
        <v/>
      </c>
      <c r="L90" t="s">
        <v>69</v>
      </c>
      <c r="M90" t="s">
        <v>323</v>
      </c>
      <c r="N90">
        <v>1</v>
      </c>
      <c r="O90">
        <f t="shared" si="11"/>
        <v>44</v>
      </c>
      <c r="Q90" t="s">
        <v>368</v>
      </c>
      <c r="T90" t="str">
        <f t="shared" si="12"/>
        <v/>
      </c>
      <c r="U90" t="str">
        <f t="shared" si="13"/>
        <v/>
      </c>
    </row>
    <row r="91" spans="1:21">
      <c r="A91" t="s">
        <v>110</v>
      </c>
      <c r="B91">
        <v>10</v>
      </c>
      <c r="C91">
        <v>117900</v>
      </c>
      <c r="D91">
        <f t="shared" si="8"/>
        <v>1</v>
      </c>
      <c r="E91">
        <f t="shared" si="9"/>
        <v>1179000</v>
      </c>
      <c r="G91" t="s">
        <v>102</v>
      </c>
      <c r="H91" t="s">
        <v>350</v>
      </c>
      <c r="I91">
        <v>2.9</v>
      </c>
      <c r="J91">
        <f t="shared" si="10"/>
        <v>29</v>
      </c>
      <c r="L91" t="s">
        <v>69</v>
      </c>
      <c r="M91" t="s">
        <v>352</v>
      </c>
      <c r="O91" t="str">
        <f t="shared" si="11"/>
        <v/>
      </c>
      <c r="Q91" t="s">
        <v>366</v>
      </c>
      <c r="T91" t="str">
        <f t="shared" si="12"/>
        <v/>
      </c>
      <c r="U91" t="str">
        <f t="shared" si="13"/>
        <v/>
      </c>
    </row>
    <row r="92" spans="1:21">
      <c r="A92" t="s">
        <v>111</v>
      </c>
      <c r="B92">
        <v>10</v>
      </c>
      <c r="C92">
        <v>1850.9</v>
      </c>
      <c r="D92">
        <f t="shared" si="8"/>
        <v>1</v>
      </c>
      <c r="E92">
        <f t="shared" si="9"/>
        <v>18509</v>
      </c>
      <c r="G92" t="s">
        <v>103</v>
      </c>
      <c r="H92" t="s">
        <v>103</v>
      </c>
      <c r="J92" t="str">
        <f t="shared" si="10"/>
        <v/>
      </c>
      <c r="L92" t="s">
        <v>70</v>
      </c>
      <c r="M92" t="s">
        <v>324</v>
      </c>
      <c r="N92">
        <v>1</v>
      </c>
      <c r="O92">
        <f t="shared" si="11"/>
        <v>71</v>
      </c>
      <c r="Q92" t="s">
        <v>369</v>
      </c>
      <c r="T92" t="str">
        <f t="shared" si="12"/>
        <v/>
      </c>
      <c r="U92" t="str">
        <f t="shared" si="13"/>
        <v/>
      </c>
    </row>
    <row r="93" spans="1:21">
      <c r="A93" t="s">
        <v>112</v>
      </c>
      <c r="B93">
        <v>10</v>
      </c>
      <c r="C93">
        <v>1850.9</v>
      </c>
      <c r="D93">
        <f t="shared" si="8"/>
        <v>1</v>
      </c>
      <c r="E93">
        <f t="shared" si="9"/>
        <v>18509</v>
      </c>
      <c r="G93" t="s">
        <v>103</v>
      </c>
      <c r="H93" t="s">
        <v>351</v>
      </c>
      <c r="I93">
        <v>2.9</v>
      </c>
      <c r="J93">
        <f t="shared" si="10"/>
        <v>29</v>
      </c>
      <c r="L93" t="s">
        <v>70</v>
      </c>
      <c r="M93" t="s">
        <v>354</v>
      </c>
      <c r="O93" t="str">
        <f t="shared" si="11"/>
        <v/>
      </c>
    </row>
    <row r="94" spans="1:21">
      <c r="A94" t="s">
        <v>113</v>
      </c>
      <c r="B94">
        <v>10</v>
      </c>
      <c r="C94">
        <v>1850.9</v>
      </c>
      <c r="D94">
        <f t="shared" si="8"/>
        <v>1</v>
      </c>
      <c r="E94">
        <f t="shared" si="9"/>
        <v>18509</v>
      </c>
      <c r="G94" t="s">
        <v>94</v>
      </c>
      <c r="H94" t="s">
        <v>94</v>
      </c>
      <c r="J94" t="str">
        <f t="shared" si="10"/>
        <v/>
      </c>
      <c r="L94" t="s">
        <v>71</v>
      </c>
      <c r="M94" t="s">
        <v>325</v>
      </c>
      <c r="N94">
        <v>1</v>
      </c>
      <c r="O94">
        <f t="shared" si="11"/>
        <v>537</v>
      </c>
    </row>
    <row r="95" spans="1:21">
      <c r="A95" t="s">
        <v>114</v>
      </c>
      <c r="B95">
        <v>44</v>
      </c>
      <c r="C95">
        <v>120</v>
      </c>
      <c r="D95">
        <f t="shared" si="8"/>
        <v>1</v>
      </c>
      <c r="E95">
        <f t="shared" si="9"/>
        <v>5280</v>
      </c>
      <c r="G95" t="s">
        <v>94</v>
      </c>
      <c r="H95" t="s">
        <v>352</v>
      </c>
      <c r="I95">
        <v>0.02</v>
      </c>
      <c r="J95">
        <f t="shared" si="10"/>
        <v>0.88</v>
      </c>
      <c r="L95" t="s">
        <v>71</v>
      </c>
      <c r="M95" t="s">
        <v>356</v>
      </c>
      <c r="O95" t="str">
        <f t="shared" si="11"/>
        <v/>
      </c>
    </row>
    <row r="96" spans="1:21">
      <c r="A96" t="s">
        <v>116</v>
      </c>
      <c r="B96">
        <v>71</v>
      </c>
      <c r="C96">
        <v>120</v>
      </c>
      <c r="D96">
        <f t="shared" si="8"/>
        <v>1</v>
      </c>
      <c r="E96">
        <f t="shared" si="9"/>
        <v>8520</v>
      </c>
      <c r="G96" t="s">
        <v>96</v>
      </c>
      <c r="H96" t="s">
        <v>96</v>
      </c>
      <c r="J96" t="str">
        <f t="shared" si="10"/>
        <v/>
      </c>
      <c r="L96" t="s">
        <v>72</v>
      </c>
      <c r="M96" t="s">
        <v>352</v>
      </c>
      <c r="N96">
        <v>0.08</v>
      </c>
      <c r="O96">
        <f t="shared" si="11"/>
        <v>3.52</v>
      </c>
    </row>
    <row r="97" spans="1:15">
      <c r="A97" t="s">
        <v>117</v>
      </c>
      <c r="B97">
        <v>537</v>
      </c>
      <c r="C97">
        <v>120</v>
      </c>
      <c r="D97">
        <f t="shared" si="8"/>
        <v>1</v>
      </c>
      <c r="E97">
        <f t="shared" si="9"/>
        <v>64440</v>
      </c>
      <c r="G97" t="s">
        <v>96</v>
      </c>
      <c r="H97" t="s">
        <v>353</v>
      </c>
      <c r="I97">
        <v>0.02</v>
      </c>
      <c r="J97">
        <f t="shared" si="10"/>
        <v>5.58</v>
      </c>
      <c r="L97" t="s">
        <v>74</v>
      </c>
      <c r="M97" t="s">
        <v>354</v>
      </c>
      <c r="N97">
        <v>0.08</v>
      </c>
      <c r="O97">
        <f t="shared" si="11"/>
        <v>5.68</v>
      </c>
    </row>
    <row r="98" spans="1:15">
      <c r="A98" t="s">
        <v>118</v>
      </c>
      <c r="B98">
        <v>279</v>
      </c>
      <c r="C98">
        <v>49.3</v>
      </c>
      <c r="D98">
        <f t="shared" si="8"/>
        <v>1</v>
      </c>
      <c r="E98">
        <f t="shared" si="9"/>
        <v>13754.699999999999</v>
      </c>
      <c r="G98" t="s">
        <v>97</v>
      </c>
      <c r="H98" t="s">
        <v>97</v>
      </c>
      <c r="J98" t="str">
        <f t="shared" si="10"/>
        <v/>
      </c>
      <c r="L98" t="s">
        <v>75</v>
      </c>
      <c r="M98" t="s">
        <v>356</v>
      </c>
      <c r="N98">
        <v>0.08</v>
      </c>
      <c r="O98">
        <f t="shared" si="11"/>
        <v>42.96</v>
      </c>
    </row>
    <row r="99" spans="1:15">
      <c r="A99" t="s">
        <v>120</v>
      </c>
      <c r="B99">
        <v>530</v>
      </c>
      <c r="C99">
        <v>49.3</v>
      </c>
      <c r="D99">
        <f t="shared" si="8"/>
        <v>1</v>
      </c>
      <c r="E99">
        <f t="shared" si="9"/>
        <v>26129</v>
      </c>
      <c r="G99" t="s">
        <v>97</v>
      </c>
      <c r="H99" t="s">
        <v>354</v>
      </c>
      <c r="I99">
        <v>0.02</v>
      </c>
      <c r="J99">
        <f t="shared" si="10"/>
        <v>1.42</v>
      </c>
      <c r="L99" t="s">
        <v>76</v>
      </c>
      <c r="M99" t="s">
        <v>353</v>
      </c>
      <c r="N99">
        <v>1.7000000000000001E-2</v>
      </c>
      <c r="O99">
        <f t="shared" si="11"/>
        <v>4.7430000000000003</v>
      </c>
    </row>
    <row r="100" spans="1:15">
      <c r="A100" t="s">
        <v>121</v>
      </c>
      <c r="B100">
        <v>1714</v>
      </c>
      <c r="C100">
        <v>49.3</v>
      </c>
      <c r="D100">
        <f t="shared" si="8"/>
        <v>1</v>
      </c>
      <c r="E100">
        <f t="shared" si="9"/>
        <v>84500.2</v>
      </c>
      <c r="G100" t="s">
        <v>98</v>
      </c>
      <c r="H100" t="s">
        <v>98</v>
      </c>
      <c r="J100" t="str">
        <f t="shared" si="10"/>
        <v/>
      </c>
      <c r="L100" t="s">
        <v>77</v>
      </c>
      <c r="M100" t="s">
        <v>355</v>
      </c>
      <c r="N100">
        <v>1.7000000000000001E-2</v>
      </c>
      <c r="O100">
        <f t="shared" si="11"/>
        <v>9.01</v>
      </c>
    </row>
    <row r="101" spans="1:15">
      <c r="A101" t="s">
        <v>122</v>
      </c>
      <c r="B101">
        <v>111</v>
      </c>
      <c r="C101">
        <v>900</v>
      </c>
      <c r="D101">
        <f t="shared" si="8"/>
        <v>1</v>
      </c>
      <c r="E101">
        <f t="shared" si="9"/>
        <v>99900</v>
      </c>
      <c r="G101" t="s">
        <v>98</v>
      </c>
      <c r="H101" t="s">
        <v>355</v>
      </c>
      <c r="I101">
        <v>0.02</v>
      </c>
      <c r="J101">
        <f t="shared" si="10"/>
        <v>10.6</v>
      </c>
      <c r="L101" t="s">
        <v>78</v>
      </c>
      <c r="M101" t="s">
        <v>357</v>
      </c>
      <c r="N101">
        <v>1.7000000000000001E-2</v>
      </c>
      <c r="O101">
        <f t="shared" si="11"/>
        <v>29.138000000000002</v>
      </c>
    </row>
    <row r="102" spans="1:15">
      <c r="A102" t="s">
        <v>124</v>
      </c>
      <c r="B102">
        <v>111</v>
      </c>
      <c r="C102">
        <v>900</v>
      </c>
      <c r="D102">
        <f t="shared" si="8"/>
        <v>1</v>
      </c>
      <c r="E102">
        <f t="shared" si="9"/>
        <v>99900</v>
      </c>
      <c r="G102" t="s">
        <v>99</v>
      </c>
      <c r="H102" t="s">
        <v>99</v>
      </c>
      <c r="J102" t="str">
        <f t="shared" si="10"/>
        <v/>
      </c>
      <c r="L102" t="s">
        <v>79</v>
      </c>
      <c r="M102" t="s">
        <v>349</v>
      </c>
      <c r="N102">
        <v>1</v>
      </c>
      <c r="O102">
        <f t="shared" si="11"/>
        <v>100</v>
      </c>
    </row>
    <row r="103" spans="1:15">
      <c r="A103" t="s">
        <v>125</v>
      </c>
      <c r="B103">
        <v>111</v>
      </c>
      <c r="C103">
        <v>900</v>
      </c>
      <c r="D103">
        <f t="shared" si="8"/>
        <v>1</v>
      </c>
      <c r="E103">
        <f t="shared" si="9"/>
        <v>99900</v>
      </c>
      <c r="G103" t="s">
        <v>99</v>
      </c>
      <c r="H103" t="s">
        <v>356</v>
      </c>
      <c r="I103">
        <v>0.02</v>
      </c>
      <c r="J103">
        <f t="shared" si="10"/>
        <v>10.74</v>
      </c>
      <c r="L103" t="s">
        <v>81</v>
      </c>
      <c r="M103" t="s">
        <v>350</v>
      </c>
      <c r="N103">
        <v>1</v>
      </c>
      <c r="O103">
        <f t="shared" si="11"/>
        <v>100</v>
      </c>
    </row>
    <row r="104" spans="1:15">
      <c r="A104" t="s">
        <v>309</v>
      </c>
      <c r="D104" t="str">
        <f t="shared" si="8"/>
        <v/>
      </c>
      <c r="E104" t="str">
        <f t="shared" si="9"/>
        <v/>
      </c>
      <c r="G104" t="s">
        <v>100</v>
      </c>
      <c r="H104" t="s">
        <v>100</v>
      </c>
      <c r="J104" t="str">
        <f t="shared" si="10"/>
        <v/>
      </c>
      <c r="L104" t="s">
        <v>82</v>
      </c>
      <c r="M104" t="s">
        <v>351</v>
      </c>
      <c r="N104">
        <v>1</v>
      </c>
      <c r="O104">
        <f t="shared" si="11"/>
        <v>100</v>
      </c>
    </row>
    <row r="105" spans="1:15">
      <c r="A105" t="s">
        <v>310</v>
      </c>
      <c r="D105" t="str">
        <f t="shared" si="8"/>
        <v/>
      </c>
      <c r="E105" t="str">
        <f t="shared" si="9"/>
        <v/>
      </c>
      <c r="G105" t="s">
        <v>100</v>
      </c>
      <c r="H105" t="s">
        <v>357</v>
      </c>
      <c r="I105">
        <v>0.02</v>
      </c>
      <c r="J105">
        <f t="shared" si="10"/>
        <v>34.28</v>
      </c>
      <c r="L105" t="s">
        <v>83</v>
      </c>
      <c r="M105" t="s">
        <v>352</v>
      </c>
      <c r="N105">
        <v>0.08</v>
      </c>
      <c r="O105">
        <f t="shared" si="11"/>
        <v>3.52</v>
      </c>
    </row>
    <row r="106" spans="1:15">
      <c r="A106" t="s">
        <v>311</v>
      </c>
      <c r="D106" t="str">
        <f t="shared" si="8"/>
        <v/>
      </c>
      <c r="E106" t="str">
        <f t="shared" si="9"/>
        <v/>
      </c>
      <c r="G106" t="s">
        <v>104</v>
      </c>
      <c r="H106" t="s">
        <v>347</v>
      </c>
      <c r="I106">
        <v>4</v>
      </c>
      <c r="J106">
        <f t="shared" si="10"/>
        <v>200</v>
      </c>
      <c r="L106" t="s">
        <v>85</v>
      </c>
      <c r="M106" t="s">
        <v>354</v>
      </c>
      <c r="N106">
        <v>0.08</v>
      </c>
      <c r="O106">
        <f t="shared" si="11"/>
        <v>5.68</v>
      </c>
    </row>
    <row r="107" spans="1:15">
      <c r="A107" t="s">
        <v>312</v>
      </c>
      <c r="D107" t="str">
        <f t="shared" si="8"/>
        <v/>
      </c>
      <c r="E107" t="str">
        <f t="shared" si="9"/>
        <v/>
      </c>
      <c r="G107" t="s">
        <v>104</v>
      </c>
      <c r="H107" t="s">
        <v>104</v>
      </c>
      <c r="J107" t="str">
        <f t="shared" si="10"/>
        <v/>
      </c>
      <c r="L107" t="s">
        <v>86</v>
      </c>
      <c r="M107" t="s">
        <v>356</v>
      </c>
      <c r="N107">
        <v>0.08</v>
      </c>
      <c r="O107">
        <f t="shared" si="11"/>
        <v>42.96</v>
      </c>
    </row>
    <row r="108" spans="1:15">
      <c r="A108" t="s">
        <v>313</v>
      </c>
      <c r="D108" t="str">
        <f t="shared" si="8"/>
        <v/>
      </c>
      <c r="E108" t="str">
        <f t="shared" si="9"/>
        <v/>
      </c>
      <c r="G108" t="s">
        <v>106</v>
      </c>
      <c r="H108" t="s">
        <v>348</v>
      </c>
      <c r="I108">
        <v>4</v>
      </c>
      <c r="J108">
        <f t="shared" si="10"/>
        <v>200</v>
      </c>
      <c r="L108" t="s">
        <v>87</v>
      </c>
      <c r="M108" t="s">
        <v>353</v>
      </c>
      <c r="N108">
        <v>1.7000000000000001E-2</v>
      </c>
      <c r="O108">
        <f t="shared" si="11"/>
        <v>4.7430000000000003</v>
      </c>
    </row>
    <row r="109" spans="1:15">
      <c r="A109" t="s">
        <v>314</v>
      </c>
      <c r="D109" t="str">
        <f t="shared" si="8"/>
        <v/>
      </c>
      <c r="E109" t="str">
        <f t="shared" si="9"/>
        <v/>
      </c>
      <c r="G109" t="s">
        <v>106</v>
      </c>
      <c r="H109" t="s">
        <v>106</v>
      </c>
      <c r="J109" t="str">
        <f t="shared" si="10"/>
        <v/>
      </c>
      <c r="L109" t="s">
        <v>88</v>
      </c>
      <c r="M109" t="s">
        <v>355</v>
      </c>
      <c r="N109">
        <v>1.7000000000000001E-2</v>
      </c>
      <c r="O109">
        <f t="shared" si="11"/>
        <v>9.01</v>
      </c>
    </row>
    <row r="110" spans="1:15">
      <c r="A110" t="s">
        <v>315</v>
      </c>
      <c r="D110" t="str">
        <f t="shared" si="8"/>
        <v/>
      </c>
      <c r="E110" t="str">
        <f t="shared" si="9"/>
        <v/>
      </c>
      <c r="G110" t="s">
        <v>107</v>
      </c>
      <c r="H110" t="s">
        <v>322</v>
      </c>
      <c r="I110">
        <v>4</v>
      </c>
      <c r="J110">
        <f t="shared" si="10"/>
        <v>200</v>
      </c>
      <c r="L110" t="s">
        <v>89</v>
      </c>
      <c r="M110" t="s">
        <v>357</v>
      </c>
      <c r="N110">
        <v>1.7000000000000001E-2</v>
      </c>
      <c r="O110">
        <f t="shared" si="11"/>
        <v>29.138000000000002</v>
      </c>
    </row>
    <row r="111" spans="1:15">
      <c r="A111" t="s">
        <v>316</v>
      </c>
      <c r="D111" t="str">
        <f t="shared" si="8"/>
        <v/>
      </c>
      <c r="E111" t="str">
        <f t="shared" si="9"/>
        <v/>
      </c>
      <c r="G111" t="s">
        <v>107</v>
      </c>
      <c r="H111" t="s">
        <v>107</v>
      </c>
      <c r="J111" t="str">
        <f t="shared" si="10"/>
        <v/>
      </c>
      <c r="L111" t="s">
        <v>90</v>
      </c>
      <c r="M111" t="s">
        <v>349</v>
      </c>
      <c r="N111">
        <v>1</v>
      </c>
      <c r="O111">
        <f t="shared" si="11"/>
        <v>100</v>
      </c>
    </row>
    <row r="112" spans="1:15">
      <c r="A112" t="s">
        <v>317</v>
      </c>
      <c r="D112" t="str">
        <f t="shared" si="8"/>
        <v/>
      </c>
      <c r="E112" t="str">
        <f t="shared" si="9"/>
        <v/>
      </c>
      <c r="G112" t="s">
        <v>108</v>
      </c>
      <c r="H112" t="s">
        <v>347</v>
      </c>
      <c r="I112">
        <v>50</v>
      </c>
      <c r="J112">
        <f t="shared" si="10"/>
        <v>500</v>
      </c>
      <c r="L112" t="s">
        <v>92</v>
      </c>
      <c r="M112" t="s">
        <v>350</v>
      </c>
      <c r="N112">
        <v>1</v>
      </c>
      <c r="O112">
        <f t="shared" si="11"/>
        <v>100</v>
      </c>
    </row>
    <row r="113" spans="1:15">
      <c r="A113" t="s">
        <v>126</v>
      </c>
      <c r="B113">
        <v>10</v>
      </c>
      <c r="C113">
        <v>2655</v>
      </c>
      <c r="D113">
        <f t="shared" si="8"/>
        <v>1</v>
      </c>
      <c r="E113">
        <f t="shared" si="9"/>
        <v>26550</v>
      </c>
      <c r="G113" t="s">
        <v>108</v>
      </c>
      <c r="H113" t="s">
        <v>108</v>
      </c>
      <c r="J113" t="str">
        <f t="shared" si="10"/>
        <v/>
      </c>
      <c r="L113" t="s">
        <v>93</v>
      </c>
      <c r="M113" t="s">
        <v>351</v>
      </c>
      <c r="N113">
        <v>1</v>
      </c>
      <c r="O113">
        <f t="shared" si="11"/>
        <v>100</v>
      </c>
    </row>
    <row r="114" spans="1:15">
      <c r="A114" t="s">
        <v>127</v>
      </c>
      <c r="B114">
        <v>10</v>
      </c>
      <c r="C114">
        <v>2655</v>
      </c>
      <c r="D114">
        <f t="shared" si="8"/>
        <v>1</v>
      </c>
      <c r="E114">
        <f t="shared" si="9"/>
        <v>26550</v>
      </c>
      <c r="G114" t="s">
        <v>109</v>
      </c>
      <c r="H114" t="s">
        <v>348</v>
      </c>
      <c r="I114">
        <v>50</v>
      </c>
      <c r="J114">
        <f t="shared" si="10"/>
        <v>500</v>
      </c>
      <c r="L114" t="s">
        <v>101</v>
      </c>
      <c r="M114" t="s">
        <v>101</v>
      </c>
      <c r="O114" t="str">
        <f t="shared" si="11"/>
        <v/>
      </c>
    </row>
    <row r="115" spans="1:15">
      <c r="A115" t="s">
        <v>128</v>
      </c>
      <c r="B115">
        <v>10</v>
      </c>
      <c r="C115">
        <v>2655</v>
      </c>
      <c r="D115">
        <f t="shared" si="8"/>
        <v>1</v>
      </c>
      <c r="E115">
        <f t="shared" si="9"/>
        <v>26550</v>
      </c>
      <c r="G115" t="s">
        <v>109</v>
      </c>
      <c r="H115" t="s">
        <v>109</v>
      </c>
      <c r="J115" t="str">
        <f t="shared" si="10"/>
        <v/>
      </c>
      <c r="L115" t="s">
        <v>101</v>
      </c>
      <c r="M115" t="s">
        <v>349</v>
      </c>
      <c r="N115">
        <v>2.9</v>
      </c>
      <c r="O115">
        <f t="shared" si="11"/>
        <v>29</v>
      </c>
    </row>
    <row r="116" spans="1:15">
      <c r="A116" t="s">
        <v>129</v>
      </c>
      <c r="B116">
        <v>279</v>
      </c>
      <c r="C116">
        <v>28</v>
      </c>
      <c r="D116">
        <f t="shared" si="8"/>
        <v>1</v>
      </c>
      <c r="E116">
        <f t="shared" si="9"/>
        <v>7812</v>
      </c>
      <c r="G116" t="s">
        <v>110</v>
      </c>
      <c r="H116" t="s">
        <v>322</v>
      </c>
      <c r="I116">
        <v>50</v>
      </c>
      <c r="J116">
        <f t="shared" si="10"/>
        <v>500</v>
      </c>
      <c r="L116" t="s">
        <v>102</v>
      </c>
      <c r="M116" t="s">
        <v>102</v>
      </c>
      <c r="O116" t="str">
        <f t="shared" si="11"/>
        <v/>
      </c>
    </row>
    <row r="117" spans="1:15">
      <c r="A117" t="s">
        <v>131</v>
      </c>
      <c r="B117">
        <v>530</v>
      </c>
      <c r="C117">
        <v>28</v>
      </c>
      <c r="D117">
        <f t="shared" si="8"/>
        <v>1</v>
      </c>
      <c r="E117">
        <f t="shared" si="9"/>
        <v>14840</v>
      </c>
      <c r="G117" t="s">
        <v>110</v>
      </c>
      <c r="H117" t="s">
        <v>110</v>
      </c>
      <c r="J117" t="str">
        <f t="shared" si="10"/>
        <v/>
      </c>
      <c r="L117" t="s">
        <v>102</v>
      </c>
      <c r="M117" t="s">
        <v>350</v>
      </c>
      <c r="N117">
        <v>2.9</v>
      </c>
      <c r="O117">
        <f t="shared" si="11"/>
        <v>29</v>
      </c>
    </row>
    <row r="118" spans="1:15">
      <c r="A118" t="s">
        <v>132</v>
      </c>
      <c r="B118">
        <v>1714</v>
      </c>
      <c r="C118">
        <v>28</v>
      </c>
      <c r="D118">
        <f t="shared" si="8"/>
        <v>1</v>
      </c>
      <c r="E118">
        <f t="shared" si="9"/>
        <v>47992</v>
      </c>
      <c r="G118" t="s">
        <v>111</v>
      </c>
      <c r="H118" t="s">
        <v>347</v>
      </c>
      <c r="I118">
        <v>0.45</v>
      </c>
      <c r="J118">
        <f t="shared" si="10"/>
        <v>4.5</v>
      </c>
      <c r="L118" t="s">
        <v>103</v>
      </c>
      <c r="M118" t="s">
        <v>103</v>
      </c>
      <c r="O118" t="str">
        <f t="shared" si="11"/>
        <v/>
      </c>
    </row>
    <row r="119" spans="1:15">
      <c r="A119" t="s">
        <v>133</v>
      </c>
      <c r="B119">
        <v>44</v>
      </c>
      <c r="C119">
        <v>75</v>
      </c>
      <c r="D119">
        <f t="shared" si="8"/>
        <v>1</v>
      </c>
      <c r="E119">
        <f t="shared" si="9"/>
        <v>3300</v>
      </c>
      <c r="G119" t="s">
        <v>111</v>
      </c>
      <c r="H119" t="s">
        <v>111</v>
      </c>
      <c r="J119" t="str">
        <f t="shared" si="10"/>
        <v/>
      </c>
      <c r="L119" t="s">
        <v>103</v>
      </c>
      <c r="M119" t="s">
        <v>351</v>
      </c>
      <c r="N119">
        <v>2.9</v>
      </c>
      <c r="O119">
        <f t="shared" si="11"/>
        <v>29</v>
      </c>
    </row>
    <row r="120" spans="1:15">
      <c r="A120" t="s">
        <v>135</v>
      </c>
      <c r="B120">
        <v>71</v>
      </c>
      <c r="C120">
        <v>75</v>
      </c>
      <c r="D120">
        <f t="shared" si="8"/>
        <v>1</v>
      </c>
      <c r="E120">
        <f t="shared" si="9"/>
        <v>5325</v>
      </c>
      <c r="G120" t="s">
        <v>112</v>
      </c>
      <c r="H120" t="s">
        <v>348</v>
      </c>
      <c r="I120">
        <v>0.45</v>
      </c>
      <c r="J120">
        <f t="shared" si="10"/>
        <v>4.5</v>
      </c>
      <c r="L120" t="s">
        <v>94</v>
      </c>
      <c r="M120" t="s">
        <v>94</v>
      </c>
      <c r="O120" t="str">
        <f t="shared" si="11"/>
        <v/>
      </c>
    </row>
    <row r="121" spans="1:15">
      <c r="A121" t="s">
        <v>136</v>
      </c>
      <c r="B121">
        <v>537</v>
      </c>
      <c r="C121">
        <v>75</v>
      </c>
      <c r="D121">
        <f t="shared" si="8"/>
        <v>1</v>
      </c>
      <c r="E121">
        <f t="shared" si="9"/>
        <v>40275</v>
      </c>
      <c r="G121" t="s">
        <v>112</v>
      </c>
      <c r="H121" t="s">
        <v>112</v>
      </c>
      <c r="J121" t="str">
        <f t="shared" si="10"/>
        <v/>
      </c>
      <c r="L121" t="s">
        <v>94</v>
      </c>
      <c r="M121" t="s">
        <v>352</v>
      </c>
      <c r="N121">
        <v>0.2</v>
      </c>
      <c r="O121">
        <f t="shared" si="11"/>
        <v>8.8000000000000007</v>
      </c>
    </row>
    <row r="122" spans="1:15">
      <c r="A122" t="s">
        <v>137</v>
      </c>
      <c r="B122">
        <v>44</v>
      </c>
      <c r="C122">
        <v>1280</v>
      </c>
      <c r="D122">
        <f t="shared" si="8"/>
        <v>1</v>
      </c>
      <c r="E122">
        <f t="shared" si="9"/>
        <v>56320</v>
      </c>
      <c r="G122" t="s">
        <v>113</v>
      </c>
      <c r="H122" t="s">
        <v>322</v>
      </c>
      <c r="I122">
        <v>0.45</v>
      </c>
      <c r="J122">
        <f t="shared" si="10"/>
        <v>4.5</v>
      </c>
      <c r="L122" t="s">
        <v>96</v>
      </c>
      <c r="M122" t="s">
        <v>96</v>
      </c>
      <c r="O122" t="str">
        <f t="shared" si="11"/>
        <v/>
      </c>
    </row>
    <row r="123" spans="1:15">
      <c r="A123" t="s">
        <v>139</v>
      </c>
      <c r="B123">
        <v>279</v>
      </c>
      <c r="C123">
        <v>1280</v>
      </c>
      <c r="D123">
        <f t="shared" si="8"/>
        <v>1</v>
      </c>
      <c r="E123">
        <f t="shared" si="9"/>
        <v>357120</v>
      </c>
      <c r="G123" t="s">
        <v>113</v>
      </c>
      <c r="H123" t="s">
        <v>113</v>
      </c>
      <c r="J123" t="str">
        <f t="shared" si="10"/>
        <v/>
      </c>
      <c r="L123" t="s">
        <v>96</v>
      </c>
      <c r="M123" t="s">
        <v>353</v>
      </c>
      <c r="N123">
        <v>0.2</v>
      </c>
      <c r="O123">
        <f t="shared" si="11"/>
        <v>55.800000000000004</v>
      </c>
    </row>
    <row r="124" spans="1:15">
      <c r="A124" t="s">
        <v>140</v>
      </c>
      <c r="B124">
        <v>71</v>
      </c>
      <c r="C124">
        <v>1280</v>
      </c>
      <c r="D124">
        <f t="shared" si="8"/>
        <v>1</v>
      </c>
      <c r="E124">
        <f t="shared" si="9"/>
        <v>90880</v>
      </c>
      <c r="G124" t="s">
        <v>114</v>
      </c>
      <c r="H124" t="s">
        <v>358</v>
      </c>
      <c r="J124" t="str">
        <f t="shared" si="10"/>
        <v/>
      </c>
      <c r="L124" t="s">
        <v>97</v>
      </c>
      <c r="M124" t="s">
        <v>97</v>
      </c>
      <c r="O124" t="str">
        <f t="shared" si="11"/>
        <v/>
      </c>
    </row>
    <row r="125" spans="1:15">
      <c r="A125" t="s">
        <v>141</v>
      </c>
      <c r="B125">
        <v>530</v>
      </c>
      <c r="C125">
        <v>1280</v>
      </c>
      <c r="D125">
        <f t="shared" si="8"/>
        <v>1</v>
      </c>
      <c r="E125">
        <f t="shared" si="9"/>
        <v>678400</v>
      </c>
      <c r="G125" t="s">
        <v>116</v>
      </c>
      <c r="H125" t="s">
        <v>359</v>
      </c>
      <c r="J125" t="str">
        <f t="shared" si="10"/>
        <v/>
      </c>
      <c r="L125" t="s">
        <v>97</v>
      </c>
      <c r="M125" t="s">
        <v>354</v>
      </c>
      <c r="N125">
        <v>0.2</v>
      </c>
      <c r="O125">
        <f t="shared" si="11"/>
        <v>14.200000000000001</v>
      </c>
    </row>
    <row r="126" spans="1:15">
      <c r="A126" t="s">
        <v>142</v>
      </c>
      <c r="B126">
        <v>537</v>
      </c>
      <c r="C126">
        <v>1280</v>
      </c>
      <c r="D126">
        <f t="shared" si="8"/>
        <v>1</v>
      </c>
      <c r="E126">
        <f t="shared" si="9"/>
        <v>687360</v>
      </c>
      <c r="G126" t="s">
        <v>117</v>
      </c>
      <c r="H126" t="s">
        <v>360</v>
      </c>
      <c r="J126" t="str">
        <f t="shared" si="10"/>
        <v/>
      </c>
      <c r="L126" t="s">
        <v>98</v>
      </c>
      <c r="M126" t="s">
        <v>98</v>
      </c>
      <c r="O126" t="str">
        <f t="shared" si="11"/>
        <v/>
      </c>
    </row>
    <row r="127" spans="1:15">
      <c r="A127" t="s">
        <v>143</v>
      </c>
      <c r="B127">
        <v>1714</v>
      </c>
      <c r="C127">
        <v>1280</v>
      </c>
      <c r="D127">
        <f t="shared" si="8"/>
        <v>1</v>
      </c>
      <c r="E127">
        <f t="shared" si="9"/>
        <v>2193920</v>
      </c>
      <c r="G127" t="s">
        <v>118</v>
      </c>
      <c r="H127" t="s">
        <v>361</v>
      </c>
      <c r="J127" t="str">
        <f t="shared" si="10"/>
        <v/>
      </c>
      <c r="L127" t="s">
        <v>98</v>
      </c>
      <c r="M127" t="s">
        <v>355</v>
      </c>
      <c r="N127">
        <v>0.2</v>
      </c>
      <c r="O127">
        <f t="shared" si="11"/>
        <v>106</v>
      </c>
    </row>
    <row r="128" spans="1:15">
      <c r="A128" t="s">
        <v>146</v>
      </c>
      <c r="B128">
        <v>1</v>
      </c>
      <c r="C128">
        <v>7590</v>
      </c>
      <c r="D128">
        <f t="shared" si="8"/>
        <v>1</v>
      </c>
      <c r="E128">
        <f t="shared" si="9"/>
        <v>7590</v>
      </c>
      <c r="G128" t="s">
        <v>120</v>
      </c>
      <c r="H128" t="s">
        <v>362</v>
      </c>
      <c r="J128" t="str">
        <f t="shared" si="10"/>
        <v/>
      </c>
      <c r="L128" t="s">
        <v>99</v>
      </c>
      <c r="M128" t="s">
        <v>99</v>
      </c>
      <c r="O128" t="str">
        <f t="shared" si="11"/>
        <v/>
      </c>
    </row>
    <row r="129" spans="1:15">
      <c r="A129" t="s">
        <v>147</v>
      </c>
      <c r="B129">
        <v>1</v>
      </c>
      <c r="C129">
        <v>7590</v>
      </c>
      <c r="D129">
        <f t="shared" si="8"/>
        <v>1</v>
      </c>
      <c r="E129">
        <f t="shared" si="9"/>
        <v>7590</v>
      </c>
      <c r="G129" t="s">
        <v>121</v>
      </c>
      <c r="H129" t="s">
        <v>363</v>
      </c>
      <c r="J129" t="str">
        <f t="shared" si="10"/>
        <v/>
      </c>
      <c r="L129" t="s">
        <v>99</v>
      </c>
      <c r="M129" t="s">
        <v>356</v>
      </c>
      <c r="N129">
        <v>0.2</v>
      </c>
      <c r="O129">
        <f t="shared" si="11"/>
        <v>107.4</v>
      </c>
    </row>
    <row r="130" spans="1:15">
      <c r="A130" t="s">
        <v>148</v>
      </c>
      <c r="B130">
        <v>1</v>
      </c>
      <c r="C130">
        <v>7590</v>
      </c>
      <c r="D130">
        <f t="shared" si="8"/>
        <v>1</v>
      </c>
      <c r="E130">
        <f t="shared" si="9"/>
        <v>7590</v>
      </c>
      <c r="G130" t="s">
        <v>309</v>
      </c>
      <c r="H130" t="s">
        <v>352</v>
      </c>
      <c r="J130" t="str">
        <f t="shared" si="10"/>
        <v/>
      </c>
      <c r="L130" t="s">
        <v>100</v>
      </c>
      <c r="M130" t="s">
        <v>100</v>
      </c>
      <c r="O130" t="str">
        <f t="shared" si="11"/>
        <v/>
      </c>
    </row>
    <row r="131" spans="1:15">
      <c r="A131" t="s">
        <v>144</v>
      </c>
      <c r="B131">
        <v>1</v>
      </c>
      <c r="C131">
        <v>7590</v>
      </c>
      <c r="D131">
        <f t="shared" ref="D131:D140" si="14">IF(B131="","",1)</f>
        <v>1</v>
      </c>
      <c r="E131">
        <f t="shared" ref="E131:E140" si="15">IF(D131="","",C131*B131/D131)</f>
        <v>7590</v>
      </c>
      <c r="G131" t="s">
        <v>310</v>
      </c>
      <c r="H131" t="s">
        <v>353</v>
      </c>
      <c r="J131" t="str">
        <f t="shared" ref="J131:J165" si="16">IF(I131="","",IF(VLOOKUP(G131,$A$2:$E$140,2,FALSE)="",I131,I131*VLOOKUP(G131,$A$2:$E$140,2,FALSE)/VLOOKUP(G131,$A$2:$E$140,4,FALSE)))</f>
        <v/>
      </c>
      <c r="L131" t="s">
        <v>100</v>
      </c>
      <c r="M131" t="s">
        <v>357</v>
      </c>
      <c r="N131">
        <v>0.2</v>
      </c>
      <c r="O131">
        <f t="shared" ref="O131:O194" si="17">IF(N131="","",IF(VLOOKUP(L131,$A$2:$E$140,2,FALSE)="",N131,N131*VLOOKUP(L131,$A$2:$E$140,2,FALSE)/VLOOKUP(L131,$A$2:$E$140,4,FALSE)))</f>
        <v>342.8</v>
      </c>
    </row>
    <row r="132" spans="1:15">
      <c r="A132" t="s">
        <v>149</v>
      </c>
      <c r="B132">
        <v>44</v>
      </c>
      <c r="C132">
        <v>152</v>
      </c>
      <c r="D132">
        <f t="shared" si="14"/>
        <v>1</v>
      </c>
      <c r="E132">
        <f t="shared" si="15"/>
        <v>6688</v>
      </c>
      <c r="G132" t="s">
        <v>311</v>
      </c>
      <c r="H132" t="s">
        <v>349</v>
      </c>
      <c r="J132" t="str">
        <f t="shared" si="16"/>
        <v/>
      </c>
      <c r="L132" t="s">
        <v>104</v>
      </c>
      <c r="M132" t="s">
        <v>347</v>
      </c>
      <c r="N132">
        <v>24</v>
      </c>
      <c r="O132">
        <f t="shared" si="17"/>
        <v>1200</v>
      </c>
    </row>
    <row r="133" spans="1:15">
      <c r="A133" t="s">
        <v>151</v>
      </c>
      <c r="B133">
        <v>71</v>
      </c>
      <c r="C133">
        <v>152</v>
      </c>
      <c r="D133">
        <f t="shared" si="14"/>
        <v>1</v>
      </c>
      <c r="E133">
        <f t="shared" si="15"/>
        <v>10792</v>
      </c>
      <c r="G133" t="s">
        <v>312</v>
      </c>
      <c r="H133" t="s">
        <v>350</v>
      </c>
      <c r="J133" t="str">
        <f t="shared" si="16"/>
        <v/>
      </c>
      <c r="L133" t="s">
        <v>104</v>
      </c>
      <c r="M133" t="s">
        <v>104</v>
      </c>
      <c r="O133" t="str">
        <f t="shared" si="17"/>
        <v/>
      </c>
    </row>
    <row r="134" spans="1:15">
      <c r="A134" t="s">
        <v>152</v>
      </c>
      <c r="B134">
        <v>537</v>
      </c>
      <c r="C134">
        <v>152</v>
      </c>
      <c r="D134">
        <f t="shared" si="14"/>
        <v>1</v>
      </c>
      <c r="E134">
        <f t="shared" si="15"/>
        <v>81624</v>
      </c>
      <c r="G134" t="s">
        <v>313</v>
      </c>
      <c r="H134" t="s">
        <v>351</v>
      </c>
      <c r="J134" t="str">
        <f t="shared" si="16"/>
        <v/>
      </c>
      <c r="L134" t="s">
        <v>106</v>
      </c>
      <c r="M134" t="s">
        <v>348</v>
      </c>
      <c r="N134">
        <v>24</v>
      </c>
      <c r="O134">
        <f t="shared" si="17"/>
        <v>1200</v>
      </c>
    </row>
    <row r="135" spans="1:15">
      <c r="A135" t="s">
        <v>153</v>
      </c>
      <c r="B135">
        <v>279</v>
      </c>
      <c r="C135">
        <v>52.7</v>
      </c>
      <c r="D135">
        <f t="shared" si="14"/>
        <v>1</v>
      </c>
      <c r="E135">
        <f t="shared" si="15"/>
        <v>14703.300000000001</v>
      </c>
      <c r="G135" t="s">
        <v>314</v>
      </c>
      <c r="H135" t="s">
        <v>354</v>
      </c>
      <c r="J135" t="str">
        <f t="shared" si="16"/>
        <v/>
      </c>
      <c r="L135" t="s">
        <v>106</v>
      </c>
      <c r="M135" t="s">
        <v>106</v>
      </c>
      <c r="O135" t="str">
        <f t="shared" si="17"/>
        <v/>
      </c>
    </row>
    <row r="136" spans="1:15">
      <c r="A136" t="s">
        <v>155</v>
      </c>
      <c r="B136">
        <v>530</v>
      </c>
      <c r="C136">
        <v>52.7</v>
      </c>
      <c r="D136">
        <f t="shared" si="14"/>
        <v>1</v>
      </c>
      <c r="E136">
        <f t="shared" si="15"/>
        <v>27931</v>
      </c>
      <c r="G136" t="s">
        <v>315</v>
      </c>
      <c r="H136" t="s">
        <v>355</v>
      </c>
      <c r="J136" t="str">
        <f t="shared" si="16"/>
        <v/>
      </c>
      <c r="L136" t="s">
        <v>107</v>
      </c>
      <c r="M136" t="s">
        <v>322</v>
      </c>
      <c r="N136">
        <v>24</v>
      </c>
      <c r="O136">
        <f t="shared" si="17"/>
        <v>1200</v>
      </c>
    </row>
    <row r="137" spans="1:15">
      <c r="A137" t="s">
        <v>156</v>
      </c>
      <c r="B137">
        <v>1714</v>
      </c>
      <c r="C137">
        <v>52.7</v>
      </c>
      <c r="D137">
        <f t="shared" si="14"/>
        <v>1</v>
      </c>
      <c r="E137">
        <f t="shared" si="15"/>
        <v>90327.8</v>
      </c>
      <c r="G137" t="s">
        <v>316</v>
      </c>
      <c r="H137" t="s">
        <v>356</v>
      </c>
      <c r="J137" t="str">
        <f t="shared" si="16"/>
        <v/>
      </c>
      <c r="L137" t="s">
        <v>107</v>
      </c>
      <c r="M137" t="s">
        <v>107</v>
      </c>
      <c r="O137" t="str">
        <f t="shared" si="17"/>
        <v/>
      </c>
    </row>
    <row r="138" spans="1:15">
      <c r="A138" t="s">
        <v>157</v>
      </c>
      <c r="B138">
        <v>10</v>
      </c>
      <c r="C138">
        <v>256060</v>
      </c>
      <c r="D138">
        <f t="shared" si="14"/>
        <v>1</v>
      </c>
      <c r="E138">
        <f t="shared" si="15"/>
        <v>2560600</v>
      </c>
      <c r="G138" t="s">
        <v>317</v>
      </c>
      <c r="H138" t="s">
        <v>357</v>
      </c>
      <c r="J138" t="str">
        <f t="shared" si="16"/>
        <v/>
      </c>
      <c r="L138" t="s">
        <v>108</v>
      </c>
      <c r="M138" t="s">
        <v>347</v>
      </c>
      <c r="N138">
        <v>50</v>
      </c>
      <c r="O138">
        <f t="shared" si="17"/>
        <v>500</v>
      </c>
    </row>
    <row r="139" spans="1:15">
      <c r="A139" t="s">
        <v>158</v>
      </c>
      <c r="B139">
        <v>10</v>
      </c>
      <c r="C139">
        <v>256060</v>
      </c>
      <c r="D139">
        <f t="shared" si="14"/>
        <v>1</v>
      </c>
      <c r="E139">
        <f t="shared" si="15"/>
        <v>2560600</v>
      </c>
      <c r="G139" t="s">
        <v>126</v>
      </c>
      <c r="H139" t="s">
        <v>126</v>
      </c>
      <c r="J139" t="str">
        <f t="shared" si="16"/>
        <v/>
      </c>
      <c r="L139" t="s">
        <v>108</v>
      </c>
      <c r="M139" t="s">
        <v>108</v>
      </c>
      <c r="O139" t="str">
        <f t="shared" si="17"/>
        <v/>
      </c>
    </row>
    <row r="140" spans="1:15">
      <c r="A140" t="s">
        <v>159</v>
      </c>
      <c r="B140">
        <v>10</v>
      </c>
      <c r="C140">
        <v>256060</v>
      </c>
      <c r="D140">
        <f t="shared" si="14"/>
        <v>1</v>
      </c>
      <c r="E140">
        <f t="shared" si="15"/>
        <v>2560600</v>
      </c>
      <c r="G140" t="s">
        <v>126</v>
      </c>
      <c r="H140" t="s">
        <v>349</v>
      </c>
      <c r="I140">
        <v>30</v>
      </c>
      <c r="J140">
        <f t="shared" si="16"/>
        <v>300</v>
      </c>
      <c r="L140" t="s">
        <v>109</v>
      </c>
      <c r="M140" t="s">
        <v>348</v>
      </c>
      <c r="N140">
        <v>50</v>
      </c>
      <c r="O140">
        <f t="shared" si="17"/>
        <v>500</v>
      </c>
    </row>
    <row r="141" spans="1:15">
      <c r="G141" t="s">
        <v>127</v>
      </c>
      <c r="H141" t="s">
        <v>127</v>
      </c>
      <c r="J141" t="str">
        <f t="shared" si="16"/>
        <v/>
      </c>
      <c r="L141" t="s">
        <v>109</v>
      </c>
      <c r="M141" t="s">
        <v>109</v>
      </c>
      <c r="O141" t="str">
        <f t="shared" si="17"/>
        <v/>
      </c>
    </row>
    <row r="142" spans="1:15">
      <c r="G142" t="s">
        <v>127</v>
      </c>
      <c r="H142" t="s">
        <v>350</v>
      </c>
      <c r="I142">
        <v>30</v>
      </c>
      <c r="J142">
        <f t="shared" si="16"/>
        <v>300</v>
      </c>
      <c r="L142" t="s">
        <v>110</v>
      </c>
      <c r="M142" t="s">
        <v>322</v>
      </c>
      <c r="N142">
        <v>50</v>
      </c>
      <c r="O142">
        <f t="shared" si="17"/>
        <v>500</v>
      </c>
    </row>
    <row r="143" spans="1:15">
      <c r="G143" t="s">
        <v>128</v>
      </c>
      <c r="H143" t="s">
        <v>128</v>
      </c>
      <c r="J143" t="str">
        <f t="shared" si="16"/>
        <v/>
      </c>
      <c r="L143" t="s">
        <v>110</v>
      </c>
      <c r="M143" t="s">
        <v>110</v>
      </c>
      <c r="O143" t="str">
        <f t="shared" si="17"/>
        <v/>
      </c>
    </row>
    <row r="144" spans="1:15">
      <c r="G144" t="s">
        <v>128</v>
      </c>
      <c r="H144" t="s">
        <v>351</v>
      </c>
      <c r="I144">
        <v>30</v>
      </c>
      <c r="J144">
        <f t="shared" si="16"/>
        <v>300</v>
      </c>
      <c r="L144" t="s">
        <v>111</v>
      </c>
      <c r="M144" t="s">
        <v>347</v>
      </c>
      <c r="N144">
        <v>1.2</v>
      </c>
      <c r="O144">
        <f t="shared" si="17"/>
        <v>12</v>
      </c>
    </row>
    <row r="145" spans="7:15">
      <c r="G145" t="s">
        <v>137</v>
      </c>
      <c r="H145" t="s">
        <v>323</v>
      </c>
      <c r="I145">
        <v>0.5</v>
      </c>
      <c r="J145">
        <f t="shared" si="16"/>
        <v>22</v>
      </c>
      <c r="L145" t="s">
        <v>111</v>
      </c>
      <c r="M145" t="s">
        <v>111</v>
      </c>
      <c r="O145" t="str">
        <f t="shared" si="17"/>
        <v/>
      </c>
    </row>
    <row r="146" spans="7:15">
      <c r="G146" t="s">
        <v>137</v>
      </c>
      <c r="H146" t="s">
        <v>137</v>
      </c>
      <c r="J146" t="str">
        <f t="shared" si="16"/>
        <v/>
      </c>
      <c r="L146" t="s">
        <v>112</v>
      </c>
      <c r="M146" t="s">
        <v>348</v>
      </c>
      <c r="N146">
        <v>1.2</v>
      </c>
      <c r="O146">
        <f t="shared" si="17"/>
        <v>12</v>
      </c>
    </row>
    <row r="147" spans="7:15">
      <c r="G147" t="s">
        <v>139</v>
      </c>
      <c r="H147" t="s">
        <v>326</v>
      </c>
      <c r="I147">
        <v>0.5</v>
      </c>
      <c r="J147">
        <f t="shared" si="16"/>
        <v>139.5</v>
      </c>
      <c r="L147" t="s">
        <v>112</v>
      </c>
      <c r="M147" t="s">
        <v>112</v>
      </c>
      <c r="O147" t="str">
        <f t="shared" si="17"/>
        <v/>
      </c>
    </row>
    <row r="148" spans="7:15">
      <c r="G148" t="s">
        <v>139</v>
      </c>
      <c r="H148" t="s">
        <v>139</v>
      </c>
      <c r="J148" t="str">
        <f t="shared" si="16"/>
        <v/>
      </c>
      <c r="L148" t="s">
        <v>113</v>
      </c>
      <c r="M148" t="s">
        <v>322</v>
      </c>
      <c r="N148">
        <v>1.2</v>
      </c>
      <c r="O148">
        <f t="shared" si="17"/>
        <v>12</v>
      </c>
    </row>
    <row r="149" spans="7:15">
      <c r="G149" t="s">
        <v>140</v>
      </c>
      <c r="H149" t="s">
        <v>324</v>
      </c>
      <c r="I149">
        <v>0.5</v>
      </c>
      <c r="J149">
        <f t="shared" si="16"/>
        <v>35.5</v>
      </c>
      <c r="L149" t="s">
        <v>113</v>
      </c>
      <c r="M149" t="s">
        <v>113</v>
      </c>
      <c r="O149" t="str">
        <f t="shared" si="17"/>
        <v/>
      </c>
    </row>
    <row r="150" spans="7:15">
      <c r="G150" t="s">
        <v>140</v>
      </c>
      <c r="H150" t="s">
        <v>140</v>
      </c>
      <c r="J150" t="str">
        <f t="shared" si="16"/>
        <v/>
      </c>
      <c r="L150" t="s">
        <v>114</v>
      </c>
      <c r="M150" t="s">
        <v>321</v>
      </c>
      <c r="O150" t="str">
        <f t="shared" si="17"/>
        <v/>
      </c>
    </row>
    <row r="151" spans="7:15">
      <c r="G151" t="s">
        <v>141</v>
      </c>
      <c r="H151" t="s">
        <v>327</v>
      </c>
      <c r="I151">
        <v>0.5</v>
      </c>
      <c r="J151">
        <f t="shared" si="16"/>
        <v>265</v>
      </c>
      <c r="L151" t="s">
        <v>114</v>
      </c>
      <c r="M151" t="s">
        <v>352</v>
      </c>
      <c r="N151">
        <v>0.08</v>
      </c>
      <c r="O151">
        <f t="shared" si="17"/>
        <v>3.52</v>
      </c>
    </row>
    <row r="152" spans="7:15">
      <c r="G152" t="s">
        <v>141</v>
      </c>
      <c r="H152" t="s">
        <v>141</v>
      </c>
      <c r="J152" t="str">
        <f t="shared" si="16"/>
        <v/>
      </c>
      <c r="L152" t="s">
        <v>116</v>
      </c>
      <c r="M152" t="s">
        <v>321</v>
      </c>
      <c r="O152" t="str">
        <f t="shared" si="17"/>
        <v/>
      </c>
    </row>
    <row r="153" spans="7:15">
      <c r="G153" t="s">
        <v>142</v>
      </c>
      <c r="H153" t="s">
        <v>325</v>
      </c>
      <c r="I153">
        <v>0.5</v>
      </c>
      <c r="J153">
        <f t="shared" si="16"/>
        <v>268.5</v>
      </c>
      <c r="L153" t="s">
        <v>116</v>
      </c>
      <c r="M153" t="s">
        <v>354</v>
      </c>
      <c r="N153">
        <v>0.08</v>
      </c>
      <c r="O153">
        <f t="shared" si="17"/>
        <v>5.68</v>
      </c>
    </row>
    <row r="154" spans="7:15">
      <c r="G154" t="s">
        <v>142</v>
      </c>
      <c r="H154" t="s">
        <v>142</v>
      </c>
      <c r="J154" t="str">
        <f t="shared" si="16"/>
        <v/>
      </c>
      <c r="L154" t="s">
        <v>117</v>
      </c>
      <c r="M154" t="s">
        <v>321</v>
      </c>
      <c r="O154" t="str">
        <f t="shared" si="17"/>
        <v/>
      </c>
    </row>
    <row r="155" spans="7:15">
      <c r="G155" t="s">
        <v>143</v>
      </c>
      <c r="H155" t="s">
        <v>328</v>
      </c>
      <c r="I155">
        <v>0.5</v>
      </c>
      <c r="J155">
        <f t="shared" si="16"/>
        <v>857</v>
      </c>
      <c r="L155" t="s">
        <v>117</v>
      </c>
      <c r="M155" t="s">
        <v>356</v>
      </c>
      <c r="N155">
        <v>0.08</v>
      </c>
      <c r="O155">
        <f t="shared" si="17"/>
        <v>42.96</v>
      </c>
    </row>
    <row r="156" spans="7:15">
      <c r="G156" t="s">
        <v>143</v>
      </c>
      <c r="H156" t="s">
        <v>143</v>
      </c>
      <c r="J156" t="str">
        <f t="shared" si="16"/>
        <v/>
      </c>
      <c r="L156" t="s">
        <v>118</v>
      </c>
      <c r="M156" t="s">
        <v>321</v>
      </c>
      <c r="O156" t="str">
        <f t="shared" si="17"/>
        <v/>
      </c>
    </row>
    <row r="157" spans="7:15">
      <c r="G157" t="s">
        <v>149</v>
      </c>
      <c r="H157" t="s">
        <v>364</v>
      </c>
      <c r="J157" t="str">
        <f t="shared" si="16"/>
        <v/>
      </c>
      <c r="L157" t="s">
        <v>118</v>
      </c>
      <c r="M157" t="s">
        <v>353</v>
      </c>
      <c r="N157">
        <v>1.7000000000000001E-2</v>
      </c>
      <c r="O157">
        <f t="shared" si="17"/>
        <v>4.7430000000000003</v>
      </c>
    </row>
    <row r="158" spans="7:15">
      <c r="G158" t="s">
        <v>151</v>
      </c>
      <c r="H158" t="s">
        <v>365</v>
      </c>
      <c r="J158" t="str">
        <f t="shared" si="16"/>
        <v/>
      </c>
      <c r="L158" t="s">
        <v>120</v>
      </c>
      <c r="M158" t="s">
        <v>321</v>
      </c>
      <c r="O158" t="str">
        <f t="shared" si="17"/>
        <v/>
      </c>
    </row>
    <row r="159" spans="7:15">
      <c r="G159" t="s">
        <v>152</v>
      </c>
      <c r="H159" t="s">
        <v>366</v>
      </c>
      <c r="J159" t="str">
        <f t="shared" si="16"/>
        <v/>
      </c>
      <c r="L159" t="s">
        <v>120</v>
      </c>
      <c r="M159" t="s">
        <v>355</v>
      </c>
      <c r="N159">
        <v>1.7000000000000001E-2</v>
      </c>
      <c r="O159">
        <f t="shared" si="17"/>
        <v>9.01</v>
      </c>
    </row>
    <row r="160" spans="7:15">
      <c r="G160" t="s">
        <v>153</v>
      </c>
      <c r="H160" t="s">
        <v>367</v>
      </c>
      <c r="J160" t="str">
        <f t="shared" si="16"/>
        <v/>
      </c>
      <c r="L160" t="s">
        <v>121</v>
      </c>
      <c r="M160" t="s">
        <v>321</v>
      </c>
      <c r="O160" t="str">
        <f t="shared" si="17"/>
        <v/>
      </c>
    </row>
    <row r="161" spans="7:15">
      <c r="G161" t="s">
        <v>155</v>
      </c>
      <c r="H161" t="s">
        <v>368</v>
      </c>
      <c r="J161" t="str">
        <f t="shared" si="16"/>
        <v/>
      </c>
      <c r="L161" t="s">
        <v>121</v>
      </c>
      <c r="M161" t="s">
        <v>357</v>
      </c>
      <c r="N161">
        <v>1.7000000000000001E-2</v>
      </c>
      <c r="O161">
        <f t="shared" si="17"/>
        <v>29.138000000000002</v>
      </c>
    </row>
    <row r="162" spans="7:15">
      <c r="G162" t="s">
        <v>156</v>
      </c>
      <c r="H162" t="s">
        <v>369</v>
      </c>
      <c r="J162" t="str">
        <f t="shared" si="16"/>
        <v/>
      </c>
      <c r="L162" t="s">
        <v>122</v>
      </c>
      <c r="M162" t="s">
        <v>347</v>
      </c>
      <c r="N162">
        <v>1</v>
      </c>
      <c r="O162">
        <f t="shared" si="17"/>
        <v>111</v>
      </c>
    </row>
    <row r="163" spans="7:15">
      <c r="G163" t="s">
        <v>157</v>
      </c>
      <c r="H163" t="s">
        <v>370</v>
      </c>
      <c r="J163" t="str">
        <f t="shared" si="16"/>
        <v/>
      </c>
      <c r="L163" t="s">
        <v>124</v>
      </c>
      <c r="M163" t="s">
        <v>348</v>
      </c>
      <c r="N163">
        <v>1</v>
      </c>
      <c r="O163">
        <f t="shared" si="17"/>
        <v>111</v>
      </c>
    </row>
    <row r="164" spans="7:15">
      <c r="G164" t="s">
        <v>158</v>
      </c>
      <c r="H164" t="s">
        <v>371</v>
      </c>
      <c r="J164" t="str">
        <f t="shared" si="16"/>
        <v/>
      </c>
      <c r="L164" t="s">
        <v>125</v>
      </c>
      <c r="M164" t="s">
        <v>322</v>
      </c>
      <c r="N164">
        <v>1</v>
      </c>
      <c r="O164">
        <f t="shared" si="17"/>
        <v>111</v>
      </c>
    </row>
    <row r="165" spans="7:15">
      <c r="G165" t="s">
        <v>159</v>
      </c>
      <c r="H165" t="s">
        <v>372</v>
      </c>
      <c r="J165" t="str">
        <f t="shared" si="16"/>
        <v/>
      </c>
      <c r="L165" t="s">
        <v>126</v>
      </c>
      <c r="M165" t="s">
        <v>126</v>
      </c>
      <c r="O165" t="str">
        <f t="shared" si="17"/>
        <v/>
      </c>
    </row>
    <row r="166" spans="7:15">
      <c r="L166" t="s">
        <v>126</v>
      </c>
      <c r="M166" t="s">
        <v>349</v>
      </c>
      <c r="N166">
        <v>70</v>
      </c>
      <c r="O166">
        <f t="shared" si="17"/>
        <v>700</v>
      </c>
    </row>
    <row r="167" spans="7:15">
      <c r="L167" t="s">
        <v>127</v>
      </c>
      <c r="M167" t="s">
        <v>127</v>
      </c>
      <c r="O167" t="str">
        <f t="shared" si="17"/>
        <v/>
      </c>
    </row>
    <row r="168" spans="7:15">
      <c r="L168" t="s">
        <v>127</v>
      </c>
      <c r="M168" t="s">
        <v>350</v>
      </c>
      <c r="N168">
        <v>70</v>
      </c>
      <c r="O168">
        <f t="shared" si="17"/>
        <v>700</v>
      </c>
    </row>
    <row r="169" spans="7:15">
      <c r="L169" t="s">
        <v>128</v>
      </c>
      <c r="M169" t="s">
        <v>128</v>
      </c>
      <c r="O169" t="str">
        <f t="shared" si="17"/>
        <v/>
      </c>
    </row>
    <row r="170" spans="7:15">
      <c r="L170" t="s">
        <v>128</v>
      </c>
      <c r="M170" t="s">
        <v>351</v>
      </c>
      <c r="N170">
        <v>70</v>
      </c>
      <c r="O170">
        <f t="shared" si="17"/>
        <v>700</v>
      </c>
    </row>
    <row r="171" spans="7:15">
      <c r="L171" t="s">
        <v>129</v>
      </c>
      <c r="M171" t="s">
        <v>326</v>
      </c>
      <c r="N171">
        <v>0.01</v>
      </c>
      <c r="O171">
        <f t="shared" si="17"/>
        <v>2.79</v>
      </c>
    </row>
    <row r="172" spans="7:15">
      <c r="L172" t="s">
        <v>131</v>
      </c>
      <c r="M172" t="s">
        <v>327</v>
      </c>
      <c r="N172">
        <v>0.01</v>
      </c>
      <c r="O172">
        <f t="shared" si="17"/>
        <v>5.3</v>
      </c>
    </row>
    <row r="173" spans="7:15">
      <c r="L173" t="s">
        <v>132</v>
      </c>
      <c r="M173" t="s">
        <v>328</v>
      </c>
      <c r="N173">
        <v>0.01</v>
      </c>
      <c r="O173">
        <f t="shared" si="17"/>
        <v>17.14</v>
      </c>
    </row>
    <row r="174" spans="7:15">
      <c r="L174" t="s">
        <v>133</v>
      </c>
      <c r="M174" t="s">
        <v>323</v>
      </c>
      <c r="N174">
        <v>0.03</v>
      </c>
      <c r="O174">
        <f t="shared" si="17"/>
        <v>1.3199999999999998</v>
      </c>
    </row>
    <row r="175" spans="7:15">
      <c r="L175" t="s">
        <v>135</v>
      </c>
      <c r="M175" t="s">
        <v>324</v>
      </c>
      <c r="N175">
        <v>0.03</v>
      </c>
      <c r="O175">
        <f t="shared" si="17"/>
        <v>2.13</v>
      </c>
    </row>
    <row r="176" spans="7:15">
      <c r="L176" t="s">
        <v>136</v>
      </c>
      <c r="M176" t="s">
        <v>325</v>
      </c>
      <c r="N176">
        <v>0.03</v>
      </c>
      <c r="O176">
        <f t="shared" si="17"/>
        <v>16.11</v>
      </c>
    </row>
    <row r="177" spans="12:15">
      <c r="L177" t="s">
        <v>137</v>
      </c>
      <c r="M177" t="s">
        <v>323</v>
      </c>
      <c r="N177">
        <v>0.5</v>
      </c>
      <c r="O177">
        <f t="shared" si="17"/>
        <v>22</v>
      </c>
    </row>
    <row r="178" spans="12:15">
      <c r="L178" t="s">
        <v>137</v>
      </c>
      <c r="M178" t="s">
        <v>137</v>
      </c>
      <c r="O178" t="str">
        <f t="shared" si="17"/>
        <v/>
      </c>
    </row>
    <row r="179" spans="12:15">
      <c r="L179" t="s">
        <v>139</v>
      </c>
      <c r="M179" t="s">
        <v>326</v>
      </c>
      <c r="N179">
        <v>0.5</v>
      </c>
      <c r="O179">
        <f t="shared" si="17"/>
        <v>139.5</v>
      </c>
    </row>
    <row r="180" spans="12:15">
      <c r="L180" t="s">
        <v>139</v>
      </c>
      <c r="M180" t="s">
        <v>139</v>
      </c>
      <c r="O180" t="str">
        <f t="shared" si="17"/>
        <v/>
      </c>
    </row>
    <row r="181" spans="12:15">
      <c r="L181" t="s">
        <v>140</v>
      </c>
      <c r="M181" t="s">
        <v>324</v>
      </c>
      <c r="N181">
        <v>0.5</v>
      </c>
      <c r="O181">
        <f t="shared" si="17"/>
        <v>35.5</v>
      </c>
    </row>
    <row r="182" spans="12:15">
      <c r="L182" t="s">
        <v>140</v>
      </c>
      <c r="M182" t="s">
        <v>140</v>
      </c>
      <c r="O182" t="str">
        <f t="shared" si="17"/>
        <v/>
      </c>
    </row>
    <row r="183" spans="12:15">
      <c r="L183" t="s">
        <v>141</v>
      </c>
      <c r="M183" t="s">
        <v>327</v>
      </c>
      <c r="N183">
        <v>0.5</v>
      </c>
      <c r="O183">
        <f t="shared" si="17"/>
        <v>265</v>
      </c>
    </row>
    <row r="184" spans="12:15">
      <c r="L184" t="s">
        <v>141</v>
      </c>
      <c r="M184" t="s">
        <v>141</v>
      </c>
      <c r="O184" t="str">
        <f t="shared" si="17"/>
        <v/>
      </c>
    </row>
    <row r="185" spans="12:15">
      <c r="L185" t="s">
        <v>142</v>
      </c>
      <c r="M185" t="s">
        <v>325</v>
      </c>
      <c r="N185">
        <v>0.5</v>
      </c>
      <c r="O185">
        <f t="shared" si="17"/>
        <v>268.5</v>
      </c>
    </row>
    <row r="186" spans="12:15">
      <c r="L186" t="s">
        <v>142</v>
      </c>
      <c r="M186" t="s">
        <v>142</v>
      </c>
      <c r="O186" t="str">
        <f t="shared" si="17"/>
        <v/>
      </c>
    </row>
    <row r="187" spans="12:15">
      <c r="L187" t="s">
        <v>143</v>
      </c>
      <c r="M187" t="s">
        <v>328</v>
      </c>
      <c r="N187">
        <v>0.5</v>
      </c>
      <c r="O187">
        <f t="shared" si="17"/>
        <v>857</v>
      </c>
    </row>
    <row r="188" spans="12:15">
      <c r="L188" t="s">
        <v>143</v>
      </c>
      <c r="M188" t="s">
        <v>143</v>
      </c>
      <c r="O188" t="str">
        <f t="shared" si="17"/>
        <v/>
      </c>
    </row>
    <row r="189" spans="12:15">
      <c r="L189" t="s">
        <v>146</v>
      </c>
      <c r="M189" t="s">
        <v>347</v>
      </c>
      <c r="N189">
        <v>3.3</v>
      </c>
      <c r="O189">
        <f t="shared" si="17"/>
        <v>3.3</v>
      </c>
    </row>
    <row r="190" spans="12:15">
      <c r="L190" t="s">
        <v>147</v>
      </c>
      <c r="M190" t="s">
        <v>348</v>
      </c>
      <c r="N190">
        <v>3.3</v>
      </c>
      <c r="O190">
        <f t="shared" si="17"/>
        <v>3.3</v>
      </c>
    </row>
    <row r="191" spans="12:15">
      <c r="L191" t="s">
        <v>148</v>
      </c>
      <c r="M191" t="s">
        <v>322</v>
      </c>
      <c r="N191">
        <v>3.3</v>
      </c>
      <c r="O191">
        <f t="shared" si="17"/>
        <v>3.3</v>
      </c>
    </row>
    <row r="192" spans="12:15">
      <c r="L192" t="s">
        <v>144</v>
      </c>
      <c r="M192" t="s">
        <v>322</v>
      </c>
      <c r="N192">
        <v>3.3</v>
      </c>
      <c r="O192">
        <f t="shared" si="17"/>
        <v>3.3</v>
      </c>
    </row>
    <row r="193" spans="12:15">
      <c r="L193" t="s">
        <v>149</v>
      </c>
      <c r="M193" t="s">
        <v>321</v>
      </c>
      <c r="O193" t="str">
        <f t="shared" si="17"/>
        <v/>
      </c>
    </row>
    <row r="194" spans="12:15">
      <c r="L194" t="s">
        <v>149</v>
      </c>
      <c r="M194" t="s">
        <v>352</v>
      </c>
      <c r="N194">
        <v>0.08</v>
      </c>
      <c r="O194">
        <f t="shared" si="17"/>
        <v>3.52</v>
      </c>
    </row>
    <row r="195" spans="12:15">
      <c r="L195" t="s">
        <v>151</v>
      </c>
      <c r="M195" t="s">
        <v>321</v>
      </c>
      <c r="O195" t="str">
        <f t="shared" ref="O195:O213" si="18">IF(N195="","",IF(VLOOKUP(L195,$A$2:$E$140,2,FALSE)="",N195,N195*VLOOKUP(L195,$A$2:$E$140,2,FALSE)/VLOOKUP(L195,$A$2:$E$140,4,FALSE)))</f>
        <v/>
      </c>
    </row>
    <row r="196" spans="12:15">
      <c r="L196" t="s">
        <v>151</v>
      </c>
      <c r="M196" t="s">
        <v>354</v>
      </c>
      <c r="N196">
        <v>0.08</v>
      </c>
      <c r="O196">
        <f t="shared" si="18"/>
        <v>5.68</v>
      </c>
    </row>
    <row r="197" spans="12:15">
      <c r="L197" t="s">
        <v>152</v>
      </c>
      <c r="M197" t="s">
        <v>321</v>
      </c>
      <c r="O197" t="str">
        <f t="shared" si="18"/>
        <v/>
      </c>
    </row>
    <row r="198" spans="12:15">
      <c r="L198" t="s">
        <v>152</v>
      </c>
      <c r="M198" t="s">
        <v>356</v>
      </c>
      <c r="N198">
        <v>0.08</v>
      </c>
      <c r="O198">
        <f t="shared" si="18"/>
        <v>42.96</v>
      </c>
    </row>
    <row r="199" spans="12:15">
      <c r="L199" t="s">
        <v>153</v>
      </c>
      <c r="M199" t="s">
        <v>321</v>
      </c>
      <c r="O199" t="str">
        <f t="shared" si="18"/>
        <v/>
      </c>
    </row>
    <row r="200" spans="12:15">
      <c r="L200" t="s">
        <v>153</v>
      </c>
      <c r="M200" t="s">
        <v>353</v>
      </c>
      <c r="N200">
        <v>1.7000000000000001E-2</v>
      </c>
      <c r="O200">
        <f t="shared" si="18"/>
        <v>4.7430000000000003</v>
      </c>
    </row>
    <row r="201" spans="12:15">
      <c r="L201" t="s">
        <v>155</v>
      </c>
      <c r="M201" t="s">
        <v>321</v>
      </c>
      <c r="O201" t="str">
        <f t="shared" si="18"/>
        <v/>
      </c>
    </row>
    <row r="202" spans="12:15">
      <c r="L202" t="s">
        <v>155</v>
      </c>
      <c r="M202" t="s">
        <v>355</v>
      </c>
      <c r="N202">
        <v>1.7000000000000001E-2</v>
      </c>
      <c r="O202">
        <f t="shared" si="18"/>
        <v>9.01</v>
      </c>
    </row>
    <row r="203" spans="12:15">
      <c r="L203" t="s">
        <v>156</v>
      </c>
      <c r="M203" t="s">
        <v>321</v>
      </c>
      <c r="O203" t="str">
        <f t="shared" si="18"/>
        <v/>
      </c>
    </row>
    <row r="204" spans="12:15">
      <c r="L204" t="s">
        <v>156</v>
      </c>
      <c r="M204" t="s">
        <v>357</v>
      </c>
      <c r="N204">
        <v>1.7000000000000001E-2</v>
      </c>
      <c r="O204">
        <f t="shared" si="18"/>
        <v>29.138000000000002</v>
      </c>
    </row>
    <row r="205" spans="12:15">
      <c r="L205" t="s">
        <v>157</v>
      </c>
      <c r="M205" t="s">
        <v>321</v>
      </c>
      <c r="O205" t="str">
        <f t="shared" si="18"/>
        <v/>
      </c>
    </row>
    <row r="206" spans="12:15">
      <c r="L206" t="s">
        <v>157</v>
      </c>
      <c r="M206" t="s">
        <v>347</v>
      </c>
      <c r="N206">
        <v>40</v>
      </c>
      <c r="O206">
        <f t="shared" si="18"/>
        <v>400</v>
      </c>
    </row>
    <row r="207" spans="12:15">
      <c r="L207" t="s">
        <v>157</v>
      </c>
      <c r="M207" t="s">
        <v>349</v>
      </c>
      <c r="N207">
        <v>40</v>
      </c>
      <c r="O207">
        <f t="shared" si="18"/>
        <v>400</v>
      </c>
    </row>
    <row r="208" spans="12:15">
      <c r="L208" t="s">
        <v>158</v>
      </c>
      <c r="M208" t="s">
        <v>321</v>
      </c>
      <c r="O208" t="str">
        <f t="shared" si="18"/>
        <v/>
      </c>
    </row>
    <row r="209" spans="12:15">
      <c r="L209" t="s">
        <v>158</v>
      </c>
      <c r="M209" t="s">
        <v>348</v>
      </c>
      <c r="N209">
        <v>40</v>
      </c>
      <c r="O209">
        <f t="shared" si="18"/>
        <v>400</v>
      </c>
    </row>
    <row r="210" spans="12:15">
      <c r="L210" t="s">
        <v>158</v>
      </c>
      <c r="M210" t="s">
        <v>350</v>
      </c>
      <c r="N210">
        <v>40</v>
      </c>
      <c r="O210">
        <f t="shared" si="18"/>
        <v>400</v>
      </c>
    </row>
    <row r="211" spans="12:15">
      <c r="L211" t="s">
        <v>159</v>
      </c>
      <c r="M211" t="s">
        <v>321</v>
      </c>
      <c r="O211" t="str">
        <f t="shared" si="18"/>
        <v/>
      </c>
    </row>
    <row r="212" spans="12:15">
      <c r="L212" t="s">
        <v>159</v>
      </c>
      <c r="M212" t="s">
        <v>322</v>
      </c>
      <c r="N212">
        <v>40</v>
      </c>
      <c r="O212">
        <f t="shared" si="18"/>
        <v>400</v>
      </c>
    </row>
    <row r="213" spans="12:15">
      <c r="L213" t="s">
        <v>159</v>
      </c>
      <c r="M213" t="s">
        <v>351</v>
      </c>
      <c r="N213">
        <v>40</v>
      </c>
      <c r="O213">
        <f t="shared" si="18"/>
        <v>400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51"/>
  <sheetViews>
    <sheetView workbookViewId="0">
      <selection activeCell="A11" sqref="A11"/>
    </sheetView>
  </sheetViews>
  <sheetFormatPr defaultRowHeight="15"/>
  <cols>
    <col min="1" max="1" width="80.28515625" style="1" bestFit="1" customWidth="1"/>
    <col min="2" max="2" width="15.28515625" bestFit="1" customWidth="1"/>
    <col min="3" max="3" width="67" bestFit="1" customWidth="1"/>
    <col min="4" max="4" width="27.28515625" bestFit="1" customWidth="1"/>
    <col min="5" max="5" width="10.7109375" bestFit="1" customWidth="1"/>
    <col min="6" max="6" width="13.85546875" style="3" customWidth="1"/>
    <col min="7" max="7" width="11.7109375" customWidth="1"/>
    <col min="8" max="8" width="14" customWidth="1"/>
    <col min="9" max="9" width="20.5703125" customWidth="1"/>
    <col min="10" max="10" width="21.28515625" customWidth="1"/>
  </cols>
  <sheetData>
    <row r="1" spans="1:11" ht="30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H1" t="s">
        <v>6</v>
      </c>
      <c r="I1" t="s">
        <v>308</v>
      </c>
      <c r="J1" t="s">
        <v>7</v>
      </c>
      <c r="K1" t="s">
        <v>3</v>
      </c>
    </row>
    <row r="2" spans="1:11">
      <c r="A2" s="1" t="str">
        <f t="shared" ref="A2:A65" si="0">IFERROR(LEFT(C2, FIND(_xlfn.UNICHAR(448), C2) - 1), C2)</f>
        <v>Electric Heater (MFH 80kW)_Anglikon_B-LVL_MFH</v>
      </c>
      <c r="B2" t="s">
        <v>8</v>
      </c>
      <c r="C2" t="s">
        <v>9</v>
      </c>
      <c r="D2" t="s">
        <v>10</v>
      </c>
      <c r="E2" t="s">
        <v>11</v>
      </c>
      <c r="F2" s="3">
        <v>44</v>
      </c>
      <c r="I2">
        <v>44</v>
      </c>
      <c r="J2">
        <f>I2/I2</f>
        <v>1</v>
      </c>
      <c r="K2" t="s">
        <v>10</v>
      </c>
    </row>
    <row r="3" spans="1:11">
      <c r="A3" s="1" t="str">
        <f t="shared" si="0"/>
        <v>Electric Heater (MFH 80kW)_Anglikon_B-LVL_MFH</v>
      </c>
      <c r="B3" t="s">
        <v>8</v>
      </c>
      <c r="C3" t="s">
        <v>9</v>
      </c>
      <c r="D3" t="s">
        <v>12</v>
      </c>
      <c r="E3" t="s">
        <v>11</v>
      </c>
      <c r="F3" s="3">
        <v>0</v>
      </c>
      <c r="I3">
        <v>0</v>
      </c>
      <c r="J3">
        <f>I3</f>
        <v>0</v>
      </c>
      <c r="K3" t="s">
        <v>12</v>
      </c>
    </row>
    <row r="4" spans="1:11">
      <c r="A4" s="1" t="str">
        <f t="shared" si="0"/>
        <v>Electric Heater (MFH 80kW)_Anglikon_B-LVL_MFH</v>
      </c>
      <c r="B4" t="s">
        <v>8</v>
      </c>
      <c r="C4" t="s">
        <v>9</v>
      </c>
      <c r="D4" t="s">
        <v>13</v>
      </c>
      <c r="E4" t="s">
        <v>11</v>
      </c>
      <c r="F4" s="3">
        <v>15.2</v>
      </c>
      <c r="I4">
        <v>15.2</v>
      </c>
      <c r="J4">
        <f>I2*I4</f>
        <v>668.8</v>
      </c>
      <c r="K4" t="s">
        <v>13</v>
      </c>
    </row>
    <row r="5" spans="1:11">
      <c r="A5" s="1" t="str">
        <f t="shared" si="0"/>
        <v>Electric Heater (MFH 80kW)_Oberdorf_B-LVL_MFH</v>
      </c>
      <c r="B5" t="s">
        <v>8</v>
      </c>
      <c r="C5" t="s">
        <v>14</v>
      </c>
      <c r="D5" t="s">
        <v>10</v>
      </c>
      <c r="E5" t="s">
        <v>11</v>
      </c>
      <c r="F5" s="3">
        <v>71</v>
      </c>
      <c r="I5">
        <v>71</v>
      </c>
      <c r="J5">
        <f t="shared" ref="J5" si="1">I5/I5</f>
        <v>1</v>
      </c>
      <c r="K5" t="s">
        <v>10</v>
      </c>
    </row>
    <row r="6" spans="1:11">
      <c r="A6" s="1" t="str">
        <f t="shared" si="0"/>
        <v>Electric Heater (MFH 80kW)_Oberdorf_B-LVL_MFH</v>
      </c>
      <c r="B6" t="s">
        <v>8</v>
      </c>
      <c r="C6" t="s">
        <v>14</v>
      </c>
      <c r="D6" t="s">
        <v>12</v>
      </c>
      <c r="E6" t="s">
        <v>11</v>
      </c>
      <c r="F6" s="3">
        <v>0</v>
      </c>
      <c r="I6">
        <v>0</v>
      </c>
      <c r="J6">
        <f t="shared" ref="J6" si="2">I6</f>
        <v>0</v>
      </c>
      <c r="K6" t="s">
        <v>12</v>
      </c>
    </row>
    <row r="7" spans="1:11">
      <c r="A7" s="1" t="str">
        <f t="shared" si="0"/>
        <v>Electric Heater (MFH 80kW)_Oberdorf_B-LVL_MFH</v>
      </c>
      <c r="B7" t="s">
        <v>8</v>
      </c>
      <c r="C7" t="s">
        <v>14</v>
      </c>
      <c r="D7" t="s">
        <v>13</v>
      </c>
      <c r="E7" t="s">
        <v>11</v>
      </c>
      <c r="F7" s="3">
        <v>15.2</v>
      </c>
      <c r="I7">
        <v>15.2</v>
      </c>
      <c r="J7">
        <f t="shared" ref="J7" si="3">I5*I7</f>
        <v>1079.2</v>
      </c>
      <c r="K7" t="s">
        <v>13</v>
      </c>
    </row>
    <row r="8" spans="1:11">
      <c r="A8" s="1" t="str">
        <f t="shared" si="0"/>
        <v>Electric Heater (MFH 80kW)_Town_B-LVL_MFH</v>
      </c>
      <c r="B8" t="s">
        <v>8</v>
      </c>
      <c r="C8" t="s">
        <v>15</v>
      </c>
      <c r="D8" t="s">
        <v>10</v>
      </c>
      <c r="E8" t="s">
        <v>11</v>
      </c>
      <c r="F8" s="3">
        <v>537</v>
      </c>
      <c r="I8">
        <v>537</v>
      </c>
      <c r="J8">
        <f t="shared" ref="J8" si="4">I8/I8</f>
        <v>1</v>
      </c>
      <c r="K8" t="s">
        <v>10</v>
      </c>
    </row>
    <row r="9" spans="1:11">
      <c r="A9" s="1" t="str">
        <f t="shared" si="0"/>
        <v>Electric Heater (MFH 80kW)_Town_B-LVL_MFH</v>
      </c>
      <c r="B9" t="s">
        <v>8</v>
      </c>
      <c r="C9" t="s">
        <v>15</v>
      </c>
      <c r="D9" t="s">
        <v>12</v>
      </c>
      <c r="E9" t="s">
        <v>11</v>
      </c>
      <c r="F9" s="3">
        <v>0</v>
      </c>
      <c r="I9">
        <v>0</v>
      </c>
      <c r="J9">
        <f t="shared" ref="J9" si="5">I9</f>
        <v>0</v>
      </c>
      <c r="K9" t="s">
        <v>12</v>
      </c>
    </row>
    <row r="10" spans="1:11">
      <c r="A10" s="1" t="str">
        <f t="shared" si="0"/>
        <v>Electric Heater (MFH 80kW)_Town_B-LVL_MFH</v>
      </c>
      <c r="B10" t="s">
        <v>8</v>
      </c>
      <c r="C10" t="s">
        <v>15</v>
      </c>
      <c r="D10" t="s">
        <v>13</v>
      </c>
      <c r="E10" t="s">
        <v>11</v>
      </c>
      <c r="F10" s="3">
        <v>15.2</v>
      </c>
      <c r="I10">
        <v>15.2</v>
      </c>
      <c r="J10">
        <f t="shared" ref="J10" si="6">I8*I10</f>
        <v>8162.4</v>
      </c>
      <c r="K10" t="s">
        <v>13</v>
      </c>
    </row>
    <row r="11" spans="1:11">
      <c r="A11" s="1" t="str">
        <f t="shared" si="0"/>
        <v>Electric Heater (SFH 17kW)_Anglikon_B-LVL_SFH</v>
      </c>
      <c r="B11" t="s">
        <v>8</v>
      </c>
      <c r="C11" t="s">
        <v>16</v>
      </c>
      <c r="D11" t="s">
        <v>10</v>
      </c>
      <c r="E11" t="s">
        <v>11</v>
      </c>
      <c r="F11" s="3">
        <v>279</v>
      </c>
      <c r="I11">
        <v>279</v>
      </c>
      <c r="J11">
        <f t="shared" ref="J11" si="7">I11/I11</f>
        <v>1</v>
      </c>
      <c r="K11" t="s">
        <v>10</v>
      </c>
    </row>
    <row r="12" spans="1:11">
      <c r="A12" s="1" t="str">
        <f t="shared" si="0"/>
        <v>Electric Heater (SFH 17kW)_Anglikon_B-LVL_SFH</v>
      </c>
      <c r="B12" t="s">
        <v>8</v>
      </c>
      <c r="C12" t="s">
        <v>16</v>
      </c>
      <c r="D12" t="s">
        <v>12</v>
      </c>
      <c r="E12" t="s">
        <v>11</v>
      </c>
      <c r="F12" s="3">
        <v>0</v>
      </c>
      <c r="I12">
        <v>0</v>
      </c>
      <c r="J12">
        <f t="shared" ref="J12" si="8">I12</f>
        <v>0</v>
      </c>
      <c r="K12" t="s">
        <v>12</v>
      </c>
    </row>
    <row r="13" spans="1:11">
      <c r="A13" s="1" t="str">
        <f t="shared" si="0"/>
        <v>Electric Heater (SFH 17kW)_Anglikon_B-LVL_SFH</v>
      </c>
      <c r="B13" t="s">
        <v>8</v>
      </c>
      <c r="C13" t="s">
        <v>16</v>
      </c>
      <c r="D13" t="s">
        <v>13</v>
      </c>
      <c r="E13" t="s">
        <v>11</v>
      </c>
      <c r="F13" s="3">
        <v>10.88</v>
      </c>
      <c r="I13">
        <v>10.88</v>
      </c>
      <c r="J13">
        <f t="shared" ref="J13" si="9">I11*I13</f>
        <v>3035.5200000000004</v>
      </c>
      <c r="K13" t="s">
        <v>13</v>
      </c>
    </row>
    <row r="14" spans="1:11">
      <c r="A14" s="1" t="str">
        <f t="shared" si="0"/>
        <v>Electric Heater (SFH 17kW)_Oberdorf_B-LVL_SFH</v>
      </c>
      <c r="B14" t="s">
        <v>8</v>
      </c>
      <c r="C14" t="s">
        <v>17</v>
      </c>
      <c r="D14" t="s">
        <v>10</v>
      </c>
      <c r="E14" t="s">
        <v>11</v>
      </c>
      <c r="F14" s="3">
        <v>530</v>
      </c>
      <c r="I14">
        <v>530</v>
      </c>
      <c r="J14">
        <f t="shared" ref="J14" si="10">I14/I14</f>
        <v>1</v>
      </c>
      <c r="K14" t="s">
        <v>10</v>
      </c>
    </row>
    <row r="15" spans="1:11">
      <c r="A15" s="1" t="str">
        <f t="shared" si="0"/>
        <v>Electric Heater (SFH 17kW)_Oberdorf_B-LVL_SFH</v>
      </c>
      <c r="B15" t="s">
        <v>8</v>
      </c>
      <c r="C15" t="s">
        <v>17</v>
      </c>
      <c r="D15" t="s">
        <v>12</v>
      </c>
      <c r="E15" t="s">
        <v>11</v>
      </c>
      <c r="F15" s="3">
        <v>0</v>
      </c>
      <c r="I15">
        <v>0</v>
      </c>
      <c r="J15">
        <f t="shared" ref="J15" si="11">I15</f>
        <v>0</v>
      </c>
      <c r="K15" t="s">
        <v>12</v>
      </c>
    </row>
    <row r="16" spans="1:11">
      <c r="A16" s="1" t="str">
        <f t="shared" si="0"/>
        <v>Electric Heater (SFH 17kW)_Oberdorf_B-LVL_SFH</v>
      </c>
      <c r="B16" t="s">
        <v>8</v>
      </c>
      <c r="C16" t="s">
        <v>17</v>
      </c>
      <c r="D16" t="s">
        <v>13</v>
      </c>
      <c r="E16" t="s">
        <v>11</v>
      </c>
      <c r="F16" s="3">
        <v>10.88</v>
      </c>
      <c r="I16">
        <v>10.88</v>
      </c>
      <c r="J16">
        <f t="shared" ref="J16" si="12">I14*I16</f>
        <v>5766.4000000000005</v>
      </c>
      <c r="K16" t="s">
        <v>13</v>
      </c>
    </row>
    <row r="17" spans="1:11">
      <c r="A17" s="1" t="str">
        <f t="shared" si="0"/>
        <v>Electric Heater (SFH 17kW)_Town_B-LVL_SFH</v>
      </c>
      <c r="B17" t="s">
        <v>8</v>
      </c>
      <c r="C17" t="s">
        <v>18</v>
      </c>
      <c r="D17" t="s">
        <v>10</v>
      </c>
      <c r="E17" t="s">
        <v>11</v>
      </c>
      <c r="F17" s="3">
        <v>1714</v>
      </c>
      <c r="I17">
        <v>1714</v>
      </c>
      <c r="J17">
        <f t="shared" ref="J17" si="13">I17/I17</f>
        <v>1</v>
      </c>
      <c r="K17" t="s">
        <v>10</v>
      </c>
    </row>
    <row r="18" spans="1:11">
      <c r="A18" s="1" t="str">
        <f t="shared" si="0"/>
        <v>Electric Heater (SFH 17kW)_Town_B-LVL_SFH</v>
      </c>
      <c r="B18" t="s">
        <v>8</v>
      </c>
      <c r="C18" t="s">
        <v>18</v>
      </c>
      <c r="D18" t="s">
        <v>12</v>
      </c>
      <c r="E18" t="s">
        <v>11</v>
      </c>
      <c r="F18" s="3">
        <v>0</v>
      </c>
      <c r="I18">
        <v>0</v>
      </c>
      <c r="J18">
        <f t="shared" ref="J18" si="14">I18</f>
        <v>0</v>
      </c>
      <c r="K18" t="s">
        <v>12</v>
      </c>
    </row>
    <row r="19" spans="1:11">
      <c r="A19" s="1" t="str">
        <f t="shared" si="0"/>
        <v>Electric Heater (SFH 17kW)_Town_B-LVL_SFH</v>
      </c>
      <c r="B19" t="s">
        <v>8</v>
      </c>
      <c r="C19" t="s">
        <v>18</v>
      </c>
      <c r="D19" t="s">
        <v>13</v>
      </c>
      <c r="E19" t="s">
        <v>11</v>
      </c>
      <c r="F19" s="3">
        <v>10.88</v>
      </c>
      <c r="I19">
        <v>10.88</v>
      </c>
      <c r="J19">
        <f t="shared" ref="J19" si="15">I17*I19</f>
        <v>18648.32</v>
      </c>
      <c r="K19" t="s">
        <v>13</v>
      </c>
    </row>
    <row r="20" spans="1:11">
      <c r="A20" s="1" t="str">
        <f t="shared" si="0"/>
        <v>Gas Heater (MFH 80kW)_Anglikon_B-LVL_MFH</v>
      </c>
      <c r="B20" t="s">
        <v>8</v>
      </c>
      <c r="C20" t="s">
        <v>19</v>
      </c>
      <c r="D20" t="s">
        <v>10</v>
      </c>
      <c r="E20" t="s">
        <v>11</v>
      </c>
      <c r="F20" s="3">
        <v>44</v>
      </c>
      <c r="I20">
        <v>44</v>
      </c>
      <c r="J20">
        <f t="shared" ref="J20" si="16">I20/I20</f>
        <v>1</v>
      </c>
      <c r="K20" t="s">
        <v>10</v>
      </c>
    </row>
    <row r="21" spans="1:11">
      <c r="A21" s="1" t="str">
        <f t="shared" si="0"/>
        <v>Gas Heater (MFH 80kW)_Anglikon_B-LVL_MFH</v>
      </c>
      <c r="B21" t="s">
        <v>8</v>
      </c>
      <c r="C21" t="s">
        <v>19</v>
      </c>
      <c r="D21" t="s">
        <v>12</v>
      </c>
      <c r="E21" t="s">
        <v>11</v>
      </c>
      <c r="F21" s="3">
        <v>0</v>
      </c>
      <c r="I21">
        <v>0</v>
      </c>
      <c r="J21">
        <f t="shared" ref="J21" si="17">I21</f>
        <v>0</v>
      </c>
      <c r="K21" t="s">
        <v>12</v>
      </c>
    </row>
    <row r="22" spans="1:11" ht="180">
      <c r="A22" s="1" t="str">
        <f t="shared" si="0"/>
        <v>Gas Heater (MFH 80kW)_Anglikon_B-LVL_MFH</v>
      </c>
      <c r="B22" t="s">
        <v>8</v>
      </c>
      <c r="C22" t="s">
        <v>19</v>
      </c>
      <c r="D22" t="s">
        <v>13</v>
      </c>
      <c r="E22" t="s">
        <v>11</v>
      </c>
      <c r="F22" s="3" t="s">
        <v>20</v>
      </c>
      <c r="I22">
        <v>80</v>
      </c>
      <c r="J22">
        <f t="shared" ref="J22" si="18">I20*I22</f>
        <v>3520</v>
      </c>
      <c r="K22" t="s">
        <v>13</v>
      </c>
    </row>
    <row r="23" spans="1:11">
      <c r="A23" s="1" t="str">
        <f t="shared" si="0"/>
        <v>Gas Heater (MFH 80kW)_Oberdorf_B-LVL_MFH</v>
      </c>
      <c r="B23" t="s">
        <v>8</v>
      </c>
      <c r="C23" t="s">
        <v>21</v>
      </c>
      <c r="D23" t="s">
        <v>10</v>
      </c>
      <c r="E23" t="s">
        <v>11</v>
      </c>
      <c r="F23" s="3">
        <v>71</v>
      </c>
      <c r="I23">
        <v>71</v>
      </c>
      <c r="J23">
        <f t="shared" ref="J23" si="19">I23/I23</f>
        <v>1</v>
      </c>
      <c r="K23" t="s">
        <v>10</v>
      </c>
    </row>
    <row r="24" spans="1:11">
      <c r="A24" s="1" t="str">
        <f t="shared" si="0"/>
        <v>Gas Heater (MFH 80kW)_Oberdorf_B-LVL_MFH</v>
      </c>
      <c r="B24" t="s">
        <v>8</v>
      </c>
      <c r="C24" t="s">
        <v>21</v>
      </c>
      <c r="D24" t="s">
        <v>12</v>
      </c>
      <c r="E24" t="s">
        <v>11</v>
      </c>
      <c r="F24" s="3">
        <v>0</v>
      </c>
      <c r="I24">
        <v>0</v>
      </c>
      <c r="J24">
        <f t="shared" ref="J24" si="20">I24</f>
        <v>0</v>
      </c>
      <c r="K24" t="s">
        <v>12</v>
      </c>
    </row>
    <row r="25" spans="1:11" ht="180">
      <c r="A25" s="1" t="str">
        <f t="shared" si="0"/>
        <v>Gas Heater (MFH 80kW)_Oberdorf_B-LVL_MFH</v>
      </c>
      <c r="B25" t="s">
        <v>8</v>
      </c>
      <c r="C25" t="s">
        <v>21</v>
      </c>
      <c r="D25" t="s">
        <v>13</v>
      </c>
      <c r="E25" t="s">
        <v>11</v>
      </c>
      <c r="F25" s="3" t="s">
        <v>20</v>
      </c>
      <c r="I25">
        <v>80</v>
      </c>
      <c r="J25">
        <f t="shared" ref="J25" si="21">I23*I25</f>
        <v>5680</v>
      </c>
      <c r="K25" t="s">
        <v>13</v>
      </c>
    </row>
    <row r="26" spans="1:11">
      <c r="A26" s="1" t="str">
        <f t="shared" si="0"/>
        <v>Gas Heater (MFH 80kW)_Town_B-LVL_MFH</v>
      </c>
      <c r="B26" t="s">
        <v>8</v>
      </c>
      <c r="C26" t="s">
        <v>22</v>
      </c>
      <c r="D26" t="s">
        <v>10</v>
      </c>
      <c r="E26" t="s">
        <v>11</v>
      </c>
      <c r="F26" s="3">
        <v>537</v>
      </c>
      <c r="I26">
        <v>537</v>
      </c>
      <c r="J26">
        <f t="shared" ref="J26" si="22">I26/I26</f>
        <v>1</v>
      </c>
      <c r="K26" t="s">
        <v>10</v>
      </c>
    </row>
    <row r="27" spans="1:11">
      <c r="A27" s="1" t="str">
        <f t="shared" si="0"/>
        <v>Gas Heater (MFH 80kW)_Town_B-LVL_MFH</v>
      </c>
      <c r="B27" t="s">
        <v>8</v>
      </c>
      <c r="C27" t="s">
        <v>22</v>
      </c>
      <c r="D27" t="s">
        <v>12</v>
      </c>
      <c r="E27" t="s">
        <v>11</v>
      </c>
      <c r="F27" s="3">
        <v>0</v>
      </c>
      <c r="I27">
        <v>0</v>
      </c>
      <c r="J27">
        <f t="shared" ref="J27" si="23">I27</f>
        <v>0</v>
      </c>
      <c r="K27" t="s">
        <v>12</v>
      </c>
    </row>
    <row r="28" spans="1:11" ht="180">
      <c r="A28" s="1" t="str">
        <f t="shared" si="0"/>
        <v>Gas Heater (MFH 80kW)_Town_B-LVL_MFH</v>
      </c>
      <c r="B28" t="s">
        <v>8</v>
      </c>
      <c r="C28" t="s">
        <v>22</v>
      </c>
      <c r="D28" t="s">
        <v>13</v>
      </c>
      <c r="E28" t="s">
        <v>11</v>
      </c>
      <c r="F28" s="3" t="s">
        <v>20</v>
      </c>
      <c r="I28">
        <v>80</v>
      </c>
      <c r="J28">
        <f t="shared" ref="J28" si="24">I26*I28</f>
        <v>42960</v>
      </c>
      <c r="K28" t="s">
        <v>13</v>
      </c>
    </row>
    <row r="29" spans="1:11">
      <c r="A29" s="1" t="str">
        <f t="shared" si="0"/>
        <v>Gas Heater (SFH 17kW)_Anglikon_B-LVL_SFH</v>
      </c>
      <c r="B29" t="s">
        <v>8</v>
      </c>
      <c r="C29" t="s">
        <v>23</v>
      </c>
      <c r="D29" t="s">
        <v>10</v>
      </c>
      <c r="E29" t="s">
        <v>11</v>
      </c>
      <c r="F29" s="3">
        <v>279</v>
      </c>
      <c r="I29">
        <v>279</v>
      </c>
      <c r="J29">
        <f t="shared" ref="J29" si="25">I29/I29</f>
        <v>1</v>
      </c>
      <c r="K29" t="s">
        <v>10</v>
      </c>
    </row>
    <row r="30" spans="1:11">
      <c r="A30" s="1" t="str">
        <f t="shared" si="0"/>
        <v>Gas Heater (SFH 17kW)_Anglikon_B-LVL_SFH</v>
      </c>
      <c r="B30" t="s">
        <v>8</v>
      </c>
      <c r="C30" t="s">
        <v>23</v>
      </c>
      <c r="D30" t="s">
        <v>12</v>
      </c>
      <c r="E30" t="s">
        <v>11</v>
      </c>
      <c r="F30" s="3">
        <v>0</v>
      </c>
      <c r="I30">
        <v>0</v>
      </c>
      <c r="J30">
        <f t="shared" ref="J30" si="26">I30</f>
        <v>0</v>
      </c>
      <c r="K30" t="s">
        <v>12</v>
      </c>
    </row>
    <row r="31" spans="1:11" ht="300">
      <c r="A31" s="1" t="str">
        <f t="shared" si="0"/>
        <v>Gas Heater (SFH 17kW)_Anglikon_B-LVL_SFH</v>
      </c>
      <c r="B31" t="s">
        <v>8</v>
      </c>
      <c r="C31" t="s">
        <v>23</v>
      </c>
      <c r="D31" t="s">
        <v>13</v>
      </c>
      <c r="E31" t="s">
        <v>11</v>
      </c>
      <c r="F31" s="3" t="s">
        <v>24</v>
      </c>
      <c r="I31">
        <v>37.4</v>
      </c>
      <c r="J31">
        <f t="shared" ref="J31" si="27">I29*I31</f>
        <v>10434.6</v>
      </c>
      <c r="K31" t="s">
        <v>13</v>
      </c>
    </row>
    <row r="32" spans="1:11">
      <c r="A32" s="1" t="str">
        <f t="shared" si="0"/>
        <v>Gas Heater (SFH 17kW)_Oberdorf_B-LVL_SFH</v>
      </c>
      <c r="B32" t="s">
        <v>8</v>
      </c>
      <c r="C32" t="s">
        <v>25</v>
      </c>
      <c r="D32" t="s">
        <v>10</v>
      </c>
      <c r="E32" t="s">
        <v>11</v>
      </c>
      <c r="F32" s="3">
        <v>530</v>
      </c>
      <c r="I32">
        <v>530</v>
      </c>
      <c r="J32">
        <f t="shared" ref="J32" si="28">I32/I32</f>
        <v>1</v>
      </c>
      <c r="K32" t="s">
        <v>10</v>
      </c>
    </row>
    <row r="33" spans="1:11">
      <c r="A33" s="1" t="str">
        <f t="shared" si="0"/>
        <v>Gas Heater (SFH 17kW)_Oberdorf_B-LVL_SFH</v>
      </c>
      <c r="B33" t="s">
        <v>8</v>
      </c>
      <c r="C33" t="s">
        <v>25</v>
      </c>
      <c r="D33" t="s">
        <v>12</v>
      </c>
      <c r="E33" t="s">
        <v>11</v>
      </c>
      <c r="F33" s="3">
        <v>0</v>
      </c>
      <c r="I33">
        <v>0</v>
      </c>
      <c r="J33">
        <f t="shared" ref="J33" si="29">I33</f>
        <v>0</v>
      </c>
      <c r="K33" t="s">
        <v>12</v>
      </c>
    </row>
    <row r="34" spans="1:11" ht="300">
      <c r="A34" s="1" t="str">
        <f t="shared" si="0"/>
        <v>Gas Heater (SFH 17kW)_Oberdorf_B-LVL_SFH</v>
      </c>
      <c r="B34" t="s">
        <v>8</v>
      </c>
      <c r="C34" t="s">
        <v>25</v>
      </c>
      <c r="D34" t="s">
        <v>13</v>
      </c>
      <c r="E34" t="s">
        <v>11</v>
      </c>
      <c r="F34" s="3" t="s">
        <v>24</v>
      </c>
      <c r="I34">
        <v>37.4</v>
      </c>
      <c r="J34">
        <f t="shared" ref="J34" si="30">I32*I34</f>
        <v>19822</v>
      </c>
      <c r="K34" t="s">
        <v>13</v>
      </c>
    </row>
    <row r="35" spans="1:11">
      <c r="A35" s="1" t="str">
        <f t="shared" si="0"/>
        <v>Gas Heater (SFH 17kW)_Town_B-LVL_SFH</v>
      </c>
      <c r="B35" t="s">
        <v>8</v>
      </c>
      <c r="C35" t="s">
        <v>26</v>
      </c>
      <c r="D35" t="s">
        <v>10</v>
      </c>
      <c r="E35" t="s">
        <v>11</v>
      </c>
      <c r="F35" s="3">
        <v>1714</v>
      </c>
      <c r="I35">
        <v>1714</v>
      </c>
      <c r="J35">
        <f t="shared" ref="J35" si="31">I35/I35</f>
        <v>1</v>
      </c>
      <c r="K35" t="s">
        <v>10</v>
      </c>
    </row>
    <row r="36" spans="1:11">
      <c r="A36" s="1" t="str">
        <f t="shared" si="0"/>
        <v>Gas Heater (SFH 17kW)_Town_B-LVL_SFH</v>
      </c>
      <c r="B36" t="s">
        <v>8</v>
      </c>
      <c r="C36" t="s">
        <v>26</v>
      </c>
      <c r="D36" t="s">
        <v>12</v>
      </c>
      <c r="E36" t="s">
        <v>11</v>
      </c>
      <c r="F36" s="3">
        <v>0</v>
      </c>
      <c r="I36">
        <v>0</v>
      </c>
      <c r="J36">
        <f t="shared" ref="J36" si="32">I36</f>
        <v>0</v>
      </c>
      <c r="K36" t="s">
        <v>12</v>
      </c>
    </row>
    <row r="37" spans="1:11" ht="300">
      <c r="A37" s="1" t="str">
        <f t="shared" si="0"/>
        <v>Gas Heater (SFH 17kW)_Town_B-LVL_SFH</v>
      </c>
      <c r="B37" t="s">
        <v>8</v>
      </c>
      <c r="C37" t="s">
        <v>26</v>
      </c>
      <c r="D37" t="s">
        <v>13</v>
      </c>
      <c r="E37" t="s">
        <v>11</v>
      </c>
      <c r="F37" s="3" t="s">
        <v>24</v>
      </c>
      <c r="I37">
        <v>37.4</v>
      </c>
      <c r="J37">
        <f t="shared" ref="J37" si="33">I35*I37</f>
        <v>64103.6</v>
      </c>
      <c r="K37" t="s">
        <v>13</v>
      </c>
    </row>
    <row r="38" spans="1:11">
      <c r="A38" s="1" t="str">
        <f t="shared" si="0"/>
        <v>Gas Turbine (40 MW)_D-LVL_Anglikon</v>
      </c>
      <c r="B38" t="s">
        <v>8</v>
      </c>
      <c r="C38" t="s">
        <v>27</v>
      </c>
      <c r="D38" t="s">
        <v>10</v>
      </c>
      <c r="E38" t="s">
        <v>11</v>
      </c>
      <c r="F38" s="3">
        <v>10</v>
      </c>
      <c r="I38">
        <v>10</v>
      </c>
      <c r="J38">
        <f t="shared" ref="J38" si="34">I38/I38</f>
        <v>1</v>
      </c>
      <c r="K38" t="s">
        <v>10</v>
      </c>
    </row>
    <row r="39" spans="1:11">
      <c r="A39" s="1" t="str">
        <f t="shared" si="0"/>
        <v>Gas Turbine (40 MW)_D-LVL_Anglikon</v>
      </c>
      <c r="B39" t="s">
        <v>8</v>
      </c>
      <c r="C39" t="s">
        <v>27</v>
      </c>
      <c r="D39" t="s">
        <v>12</v>
      </c>
      <c r="E39" t="s">
        <v>11</v>
      </c>
      <c r="F39" s="3">
        <v>0</v>
      </c>
      <c r="I39">
        <v>0</v>
      </c>
      <c r="J39">
        <f t="shared" ref="J39" si="35">I39</f>
        <v>0</v>
      </c>
      <c r="K39" t="s">
        <v>12</v>
      </c>
    </row>
    <row r="40" spans="1:11">
      <c r="A40" s="1" t="str">
        <f t="shared" si="0"/>
        <v>Gas Turbine (40 MW)_D-LVL_Anglikon</v>
      </c>
      <c r="B40" t="s">
        <v>8</v>
      </c>
      <c r="C40" t="s">
        <v>27</v>
      </c>
      <c r="D40" t="s">
        <v>13</v>
      </c>
      <c r="E40" t="s">
        <v>11</v>
      </c>
      <c r="F40" s="3">
        <v>17200</v>
      </c>
      <c r="H40" t="s">
        <v>28</v>
      </c>
      <c r="I40">
        <f>17200*0.91</f>
        <v>15652</v>
      </c>
      <c r="J40">
        <f t="shared" ref="J40" si="36">I38*I40</f>
        <v>156520</v>
      </c>
      <c r="K40" t="s">
        <v>13</v>
      </c>
    </row>
    <row r="41" spans="1:11">
      <c r="A41" s="1" t="str">
        <f t="shared" si="0"/>
        <v>Gas Turbine (40 MW)_D-LVL_Oberdorf</v>
      </c>
      <c r="B41" t="s">
        <v>8</v>
      </c>
      <c r="C41" t="s">
        <v>29</v>
      </c>
      <c r="D41" t="s">
        <v>10</v>
      </c>
      <c r="E41" t="s">
        <v>11</v>
      </c>
      <c r="F41" s="3">
        <v>10</v>
      </c>
      <c r="I41">
        <v>10</v>
      </c>
      <c r="J41">
        <f t="shared" ref="J41" si="37">I41/I41</f>
        <v>1</v>
      </c>
      <c r="K41" t="s">
        <v>10</v>
      </c>
    </row>
    <row r="42" spans="1:11">
      <c r="A42" s="1" t="str">
        <f t="shared" si="0"/>
        <v>Gas Turbine (40 MW)_D-LVL_Oberdorf</v>
      </c>
      <c r="B42" t="s">
        <v>8</v>
      </c>
      <c r="C42" t="s">
        <v>29</v>
      </c>
      <c r="D42" t="s">
        <v>12</v>
      </c>
      <c r="E42" t="s">
        <v>11</v>
      </c>
      <c r="F42" s="3">
        <v>0</v>
      </c>
      <c r="I42">
        <v>0</v>
      </c>
      <c r="J42">
        <f t="shared" ref="J42" si="38">I42</f>
        <v>0</v>
      </c>
      <c r="K42" t="s">
        <v>12</v>
      </c>
    </row>
    <row r="43" spans="1:11">
      <c r="A43" s="1" t="str">
        <f t="shared" si="0"/>
        <v>Gas Turbine (40 MW)_D-LVL_Oberdorf</v>
      </c>
      <c r="B43" t="s">
        <v>8</v>
      </c>
      <c r="C43" t="s">
        <v>29</v>
      </c>
      <c r="D43" t="s">
        <v>13</v>
      </c>
      <c r="E43" t="s">
        <v>11</v>
      </c>
      <c r="F43" s="3">
        <v>17200</v>
      </c>
      <c r="H43" t="s">
        <v>28</v>
      </c>
      <c r="I43">
        <f>17200*0.91</f>
        <v>15652</v>
      </c>
      <c r="J43">
        <f t="shared" ref="J43" si="39">I41*I43</f>
        <v>156520</v>
      </c>
      <c r="K43" t="s">
        <v>13</v>
      </c>
    </row>
    <row r="44" spans="1:11">
      <c r="A44" s="1" t="str">
        <f t="shared" si="0"/>
        <v>Gas Turbine (40 MW)_D-LVL_Town</v>
      </c>
      <c r="B44" t="s">
        <v>8</v>
      </c>
      <c r="C44" t="s">
        <v>30</v>
      </c>
      <c r="D44" t="s">
        <v>10</v>
      </c>
      <c r="E44" t="s">
        <v>11</v>
      </c>
      <c r="F44" s="3">
        <v>10</v>
      </c>
      <c r="I44">
        <v>10</v>
      </c>
      <c r="J44">
        <f t="shared" ref="J44" si="40">I44/I44</f>
        <v>1</v>
      </c>
      <c r="K44" t="s">
        <v>10</v>
      </c>
    </row>
    <row r="45" spans="1:11">
      <c r="A45" s="1" t="str">
        <f t="shared" si="0"/>
        <v>Gas Turbine (40 MW)_D-LVL_Town</v>
      </c>
      <c r="B45" t="s">
        <v>8</v>
      </c>
      <c r="C45" t="s">
        <v>30</v>
      </c>
      <c r="D45" t="s">
        <v>12</v>
      </c>
      <c r="E45" t="s">
        <v>11</v>
      </c>
      <c r="F45" s="3">
        <v>0</v>
      </c>
      <c r="I45">
        <v>0</v>
      </c>
      <c r="J45">
        <f t="shared" ref="J45" si="41">I45</f>
        <v>0</v>
      </c>
      <c r="K45" t="s">
        <v>12</v>
      </c>
    </row>
    <row r="46" spans="1:11">
      <c r="A46" s="1" t="str">
        <f t="shared" si="0"/>
        <v>Gas Turbine (40 MW)_D-LVL_Town</v>
      </c>
      <c r="B46" t="s">
        <v>8</v>
      </c>
      <c r="C46" t="s">
        <v>30</v>
      </c>
      <c r="D46" t="s">
        <v>13</v>
      </c>
      <c r="E46" t="s">
        <v>11</v>
      </c>
      <c r="F46" s="3">
        <v>17200</v>
      </c>
      <c r="H46" t="s">
        <v>28</v>
      </c>
      <c r="I46">
        <f>17200*0.91</f>
        <v>15652</v>
      </c>
      <c r="J46">
        <f t="shared" ref="J46" si="42">I44*I46</f>
        <v>156520</v>
      </c>
      <c r="K46" t="s">
        <v>13</v>
      </c>
    </row>
    <row r="47" spans="1:11">
      <c r="A47" s="1" t="str">
        <f t="shared" si="0"/>
        <v>H2 Cavern 150GWh_D-LVL_Anglikon</v>
      </c>
      <c r="B47" t="s">
        <v>8</v>
      </c>
      <c r="C47" t="s">
        <v>31</v>
      </c>
      <c r="D47" t="s">
        <v>10</v>
      </c>
      <c r="E47" t="s">
        <v>11</v>
      </c>
      <c r="F47" s="3">
        <v>10</v>
      </c>
      <c r="I47">
        <v>10</v>
      </c>
      <c r="J47">
        <f t="shared" ref="J47" si="43">I47/I47</f>
        <v>1</v>
      </c>
      <c r="K47" t="s">
        <v>10</v>
      </c>
    </row>
    <row r="48" spans="1:11">
      <c r="A48" s="1" t="str">
        <f t="shared" si="0"/>
        <v>H2 Cavern 150GWh_D-LVL_Anglikon</v>
      </c>
      <c r="B48" t="s">
        <v>8</v>
      </c>
      <c r="C48" t="s">
        <v>31</v>
      </c>
      <c r="D48" t="s">
        <v>12</v>
      </c>
      <c r="E48" t="s">
        <v>11</v>
      </c>
      <c r="F48" s="3">
        <v>0</v>
      </c>
      <c r="I48">
        <v>0</v>
      </c>
      <c r="J48">
        <f t="shared" ref="J48" si="44">I48</f>
        <v>0</v>
      </c>
      <c r="K48" t="s">
        <v>12</v>
      </c>
    </row>
    <row r="49" spans="1:11">
      <c r="A49" s="1" t="str">
        <f t="shared" si="0"/>
        <v>H2 Cavern 150GWh_D-LVL_Anglikon</v>
      </c>
      <c r="B49" t="s">
        <v>8</v>
      </c>
      <c r="C49" t="s">
        <v>31</v>
      </c>
      <c r="D49" t="s">
        <v>13</v>
      </c>
      <c r="E49" t="s">
        <v>11</v>
      </c>
      <c r="F49" s="3">
        <v>478500</v>
      </c>
      <c r="H49" t="s">
        <v>32</v>
      </c>
      <c r="I49">
        <v>218400</v>
      </c>
      <c r="J49">
        <f t="shared" ref="J49" si="45">I47*I49</f>
        <v>2184000</v>
      </c>
      <c r="K49" t="s">
        <v>13</v>
      </c>
    </row>
    <row r="50" spans="1:11">
      <c r="A50" s="1" t="str">
        <f t="shared" si="0"/>
        <v>H2 Cavern 150GWh_D-LVL_Oberdorf</v>
      </c>
      <c r="B50" t="s">
        <v>8</v>
      </c>
      <c r="C50" t="s">
        <v>33</v>
      </c>
      <c r="D50" t="s">
        <v>10</v>
      </c>
      <c r="E50" t="s">
        <v>11</v>
      </c>
      <c r="F50" s="3">
        <v>10</v>
      </c>
      <c r="I50">
        <v>10</v>
      </c>
      <c r="J50">
        <f t="shared" ref="J50" si="46">I50/I50</f>
        <v>1</v>
      </c>
      <c r="K50" t="s">
        <v>10</v>
      </c>
    </row>
    <row r="51" spans="1:11">
      <c r="A51" s="1" t="str">
        <f t="shared" si="0"/>
        <v>H2 Cavern 150GWh_D-LVL_Oberdorf</v>
      </c>
      <c r="B51" t="s">
        <v>8</v>
      </c>
      <c r="C51" t="s">
        <v>33</v>
      </c>
      <c r="D51" t="s">
        <v>12</v>
      </c>
      <c r="E51" t="s">
        <v>11</v>
      </c>
      <c r="F51" s="3">
        <v>0</v>
      </c>
      <c r="I51">
        <v>0</v>
      </c>
      <c r="J51">
        <f t="shared" ref="J51" si="47">I51</f>
        <v>0</v>
      </c>
      <c r="K51" t="s">
        <v>12</v>
      </c>
    </row>
    <row r="52" spans="1:11">
      <c r="A52" s="1" t="str">
        <f t="shared" si="0"/>
        <v>H2 Cavern 150GWh_D-LVL_Oberdorf</v>
      </c>
      <c r="B52" t="s">
        <v>8</v>
      </c>
      <c r="C52" t="s">
        <v>33</v>
      </c>
      <c r="D52" t="s">
        <v>13</v>
      </c>
      <c r="E52" t="s">
        <v>11</v>
      </c>
      <c r="F52" s="3">
        <v>478500</v>
      </c>
      <c r="H52" t="s">
        <v>32</v>
      </c>
      <c r="I52">
        <v>218400</v>
      </c>
      <c r="J52">
        <f t="shared" ref="J52" si="48">I50*I52</f>
        <v>2184000</v>
      </c>
      <c r="K52" t="s">
        <v>13</v>
      </c>
    </row>
    <row r="53" spans="1:11">
      <c r="A53" s="1" t="str">
        <f t="shared" si="0"/>
        <v>H2 Cavern 150GWh_D-LVL_Town</v>
      </c>
      <c r="B53" t="s">
        <v>8</v>
      </c>
      <c r="C53" t="s">
        <v>34</v>
      </c>
      <c r="D53" t="s">
        <v>10</v>
      </c>
      <c r="E53" t="s">
        <v>11</v>
      </c>
      <c r="F53" s="3">
        <v>10</v>
      </c>
      <c r="I53">
        <v>10</v>
      </c>
      <c r="J53">
        <f t="shared" ref="J53" si="49">I53/I53</f>
        <v>1</v>
      </c>
      <c r="K53" t="s">
        <v>10</v>
      </c>
    </row>
    <row r="54" spans="1:11">
      <c r="A54" s="1" t="str">
        <f t="shared" si="0"/>
        <v>H2 Cavern 150GWh_D-LVL_Town</v>
      </c>
      <c r="B54" t="s">
        <v>8</v>
      </c>
      <c r="C54" t="s">
        <v>34</v>
      </c>
      <c r="D54" t="s">
        <v>12</v>
      </c>
      <c r="E54" t="s">
        <v>11</v>
      </c>
      <c r="F54" s="3">
        <v>0</v>
      </c>
      <c r="I54">
        <v>0</v>
      </c>
      <c r="J54">
        <f t="shared" ref="J54" si="50">I54</f>
        <v>0</v>
      </c>
      <c r="K54" t="s">
        <v>12</v>
      </c>
    </row>
    <row r="55" spans="1:11">
      <c r="A55" s="1" t="str">
        <f t="shared" si="0"/>
        <v>H2 Cavern 150GWh_D-LVL_Town</v>
      </c>
      <c r="B55" t="s">
        <v>8</v>
      </c>
      <c r="C55" t="s">
        <v>34</v>
      </c>
      <c r="D55" t="s">
        <v>13</v>
      </c>
      <c r="E55" t="s">
        <v>11</v>
      </c>
      <c r="F55" s="3">
        <v>478500</v>
      </c>
      <c r="H55" t="s">
        <v>32</v>
      </c>
      <c r="I55">
        <v>218400</v>
      </c>
      <c r="J55">
        <f t="shared" ref="J55" si="51">I53*I55</f>
        <v>2184000</v>
      </c>
      <c r="K55" t="s">
        <v>13</v>
      </c>
    </row>
    <row r="56" spans="1:11">
      <c r="A56" s="1" t="str">
        <f t="shared" si="0"/>
        <v>H2 Heater (MFH 80kW)_Anglikon_B-LVL_MFH</v>
      </c>
      <c r="B56" t="s">
        <v>8</v>
      </c>
      <c r="C56" t="s">
        <v>35</v>
      </c>
      <c r="D56" t="s">
        <v>10</v>
      </c>
      <c r="E56" t="s">
        <v>11</v>
      </c>
      <c r="F56" s="3">
        <v>44</v>
      </c>
      <c r="I56">
        <v>44</v>
      </c>
      <c r="J56">
        <f t="shared" ref="J56" si="52">I56/I56</f>
        <v>1</v>
      </c>
      <c r="K56" t="s">
        <v>10</v>
      </c>
    </row>
    <row r="57" spans="1:11">
      <c r="A57" s="1" t="str">
        <f t="shared" si="0"/>
        <v>H2 Heater (MFH 80kW)_Anglikon_B-LVL_MFH</v>
      </c>
      <c r="B57" t="s">
        <v>8</v>
      </c>
      <c r="C57" t="s">
        <v>35</v>
      </c>
      <c r="D57" t="s">
        <v>12</v>
      </c>
      <c r="E57" t="s">
        <v>11</v>
      </c>
      <c r="F57" s="3">
        <v>0</v>
      </c>
      <c r="I57">
        <v>0</v>
      </c>
      <c r="J57">
        <f t="shared" ref="J57" si="53">I57</f>
        <v>0</v>
      </c>
      <c r="K57" t="s">
        <v>12</v>
      </c>
    </row>
    <row r="58" spans="1:11">
      <c r="A58" s="1" t="str">
        <f t="shared" si="0"/>
        <v>H2 Heater (MFH 80kW)_Anglikon_B-LVL_MFH</v>
      </c>
      <c r="B58" t="s">
        <v>8</v>
      </c>
      <c r="C58" t="s">
        <v>35</v>
      </c>
      <c r="D58" t="s">
        <v>13</v>
      </c>
      <c r="E58" t="s">
        <v>11</v>
      </c>
      <c r="F58" s="3">
        <v>59.2</v>
      </c>
      <c r="H58" t="s">
        <v>32</v>
      </c>
      <c r="I58">
        <v>9.1</v>
      </c>
      <c r="J58">
        <f t="shared" ref="J58" si="54">I56*I58</f>
        <v>400.4</v>
      </c>
      <c r="K58" t="s">
        <v>13</v>
      </c>
    </row>
    <row r="59" spans="1:11">
      <c r="A59" s="1" t="str">
        <f t="shared" si="0"/>
        <v>H2 Heater (MFH 80kW)_Oberdorf_B-LVL_MFH</v>
      </c>
      <c r="B59" t="s">
        <v>8</v>
      </c>
      <c r="C59" t="s">
        <v>36</v>
      </c>
      <c r="D59" t="s">
        <v>10</v>
      </c>
      <c r="E59" t="s">
        <v>11</v>
      </c>
      <c r="F59" s="3">
        <v>71</v>
      </c>
      <c r="I59">
        <v>71</v>
      </c>
      <c r="J59">
        <f t="shared" ref="J59" si="55">I59/I59</f>
        <v>1</v>
      </c>
      <c r="K59" t="s">
        <v>10</v>
      </c>
    </row>
    <row r="60" spans="1:11">
      <c r="A60" s="1" t="str">
        <f t="shared" si="0"/>
        <v>H2 Heater (MFH 80kW)_Oberdorf_B-LVL_MFH</v>
      </c>
      <c r="B60" t="s">
        <v>8</v>
      </c>
      <c r="C60" t="s">
        <v>36</v>
      </c>
      <c r="D60" t="s">
        <v>12</v>
      </c>
      <c r="E60" t="s">
        <v>11</v>
      </c>
      <c r="F60" s="3">
        <v>0</v>
      </c>
      <c r="I60">
        <v>0</v>
      </c>
      <c r="J60">
        <f t="shared" ref="J60" si="56">I60</f>
        <v>0</v>
      </c>
      <c r="K60" t="s">
        <v>12</v>
      </c>
    </row>
    <row r="61" spans="1:11">
      <c r="A61" s="1" t="str">
        <f t="shared" si="0"/>
        <v>H2 Heater (MFH 80kW)_Oberdorf_B-LVL_MFH</v>
      </c>
      <c r="B61" t="s">
        <v>8</v>
      </c>
      <c r="C61" t="s">
        <v>36</v>
      </c>
      <c r="D61" t="s">
        <v>13</v>
      </c>
      <c r="E61" t="s">
        <v>11</v>
      </c>
      <c r="F61" s="3">
        <v>59.2</v>
      </c>
      <c r="H61" t="s">
        <v>32</v>
      </c>
      <c r="I61">
        <v>9.1</v>
      </c>
      <c r="J61">
        <f t="shared" ref="J61" si="57">I59*I61</f>
        <v>646.1</v>
      </c>
      <c r="K61" t="s">
        <v>13</v>
      </c>
    </row>
    <row r="62" spans="1:11">
      <c r="A62" s="1" t="str">
        <f t="shared" si="0"/>
        <v>H2 Heater (MFH 80kW)_Town_B-LVL_MFH</v>
      </c>
      <c r="B62" t="s">
        <v>8</v>
      </c>
      <c r="C62" t="s">
        <v>37</v>
      </c>
      <c r="D62" t="s">
        <v>10</v>
      </c>
      <c r="E62" t="s">
        <v>11</v>
      </c>
      <c r="F62" s="3">
        <v>537</v>
      </c>
      <c r="I62">
        <v>537</v>
      </c>
      <c r="J62">
        <f t="shared" ref="J62" si="58">I62/I62</f>
        <v>1</v>
      </c>
      <c r="K62" t="s">
        <v>10</v>
      </c>
    </row>
    <row r="63" spans="1:11">
      <c r="A63" s="1" t="str">
        <f t="shared" si="0"/>
        <v>H2 Heater (MFH 80kW)_Town_B-LVL_MFH</v>
      </c>
      <c r="B63" t="s">
        <v>8</v>
      </c>
      <c r="C63" t="s">
        <v>37</v>
      </c>
      <c r="D63" t="s">
        <v>12</v>
      </c>
      <c r="E63" t="s">
        <v>11</v>
      </c>
      <c r="F63" s="3">
        <v>0</v>
      </c>
      <c r="I63">
        <v>0</v>
      </c>
      <c r="J63">
        <f t="shared" ref="J63" si="59">I63</f>
        <v>0</v>
      </c>
      <c r="K63" t="s">
        <v>12</v>
      </c>
    </row>
    <row r="64" spans="1:11">
      <c r="A64" s="1" t="str">
        <f t="shared" si="0"/>
        <v>H2 Heater (MFH 80kW)_Town_B-LVL_MFH</v>
      </c>
      <c r="B64" t="s">
        <v>8</v>
      </c>
      <c r="C64" t="s">
        <v>37</v>
      </c>
      <c r="D64" t="s">
        <v>13</v>
      </c>
      <c r="E64" t="s">
        <v>11</v>
      </c>
      <c r="F64" s="3">
        <v>59.2</v>
      </c>
      <c r="H64" t="s">
        <v>32</v>
      </c>
      <c r="I64">
        <v>9.1</v>
      </c>
      <c r="J64">
        <f t="shared" ref="J64" si="60">I62*I64</f>
        <v>4886.7</v>
      </c>
      <c r="K64" t="s">
        <v>13</v>
      </c>
    </row>
    <row r="65" spans="1:11">
      <c r="A65" s="1" t="str">
        <f t="shared" si="0"/>
        <v>H2 Heater (SFH 17kW)_Anglikon_B-LVL_SFH</v>
      </c>
      <c r="B65" t="s">
        <v>8</v>
      </c>
      <c r="C65" t="s">
        <v>38</v>
      </c>
      <c r="D65" t="s">
        <v>10</v>
      </c>
      <c r="E65" t="s">
        <v>11</v>
      </c>
      <c r="F65" s="3">
        <v>279</v>
      </c>
      <c r="I65">
        <v>279</v>
      </c>
      <c r="J65">
        <f t="shared" ref="J65" si="61">I65/I65</f>
        <v>1</v>
      </c>
      <c r="K65" t="s">
        <v>10</v>
      </c>
    </row>
    <row r="66" spans="1:11">
      <c r="A66" s="1" t="str">
        <f t="shared" ref="A66:A129" si="62">IFERROR(LEFT(C66, FIND(_xlfn.UNICHAR(448), C66) - 1), C66)</f>
        <v>H2 Heater (SFH 17kW)_Anglikon_B-LVL_SFH</v>
      </c>
      <c r="B66" t="s">
        <v>8</v>
      </c>
      <c r="C66" t="s">
        <v>38</v>
      </c>
      <c r="D66" t="s">
        <v>12</v>
      </c>
      <c r="E66" t="s">
        <v>11</v>
      </c>
      <c r="F66" s="3">
        <v>0</v>
      </c>
      <c r="I66">
        <v>0</v>
      </c>
      <c r="J66">
        <f t="shared" ref="J66" si="63">I66</f>
        <v>0</v>
      </c>
      <c r="K66" t="s">
        <v>12</v>
      </c>
    </row>
    <row r="67" spans="1:11">
      <c r="A67" s="1" t="str">
        <f t="shared" si="62"/>
        <v>H2 Heater (SFH 17kW)_Anglikon_B-LVL_SFH</v>
      </c>
      <c r="B67" t="s">
        <v>8</v>
      </c>
      <c r="C67" t="s">
        <v>38</v>
      </c>
      <c r="D67" t="s">
        <v>13</v>
      </c>
      <c r="E67" t="s">
        <v>11</v>
      </c>
      <c r="F67" s="3">
        <v>30.09</v>
      </c>
      <c r="H67" t="s">
        <v>32</v>
      </c>
      <c r="I67">
        <v>3.64</v>
      </c>
      <c r="J67">
        <f t="shared" ref="J67" si="64">I65*I67</f>
        <v>1015.5600000000001</v>
      </c>
      <c r="K67" t="s">
        <v>13</v>
      </c>
    </row>
    <row r="68" spans="1:11">
      <c r="A68" s="1" t="str">
        <f t="shared" si="62"/>
        <v>H2 Heater (SFH 17kW)_Oberdorf_B-LVL_SFH</v>
      </c>
      <c r="B68" t="s">
        <v>8</v>
      </c>
      <c r="C68" t="s">
        <v>39</v>
      </c>
      <c r="D68" t="s">
        <v>10</v>
      </c>
      <c r="E68" t="s">
        <v>11</v>
      </c>
      <c r="F68" s="3">
        <v>530</v>
      </c>
      <c r="I68">
        <v>530</v>
      </c>
      <c r="J68">
        <f t="shared" ref="J68" si="65">I68/I68</f>
        <v>1</v>
      </c>
      <c r="K68" t="s">
        <v>10</v>
      </c>
    </row>
    <row r="69" spans="1:11">
      <c r="A69" s="1" t="str">
        <f t="shared" si="62"/>
        <v>H2 Heater (SFH 17kW)_Oberdorf_B-LVL_SFH</v>
      </c>
      <c r="B69" t="s">
        <v>8</v>
      </c>
      <c r="C69" t="s">
        <v>39</v>
      </c>
      <c r="D69" t="s">
        <v>12</v>
      </c>
      <c r="E69" t="s">
        <v>11</v>
      </c>
      <c r="F69" s="3">
        <v>0</v>
      </c>
      <c r="I69">
        <v>0</v>
      </c>
      <c r="J69">
        <f t="shared" ref="J69" si="66">I69</f>
        <v>0</v>
      </c>
      <c r="K69" t="s">
        <v>12</v>
      </c>
    </row>
    <row r="70" spans="1:11">
      <c r="A70" s="1" t="str">
        <f t="shared" si="62"/>
        <v>H2 Heater (SFH 17kW)_Oberdorf_B-LVL_SFH</v>
      </c>
      <c r="B70" t="s">
        <v>8</v>
      </c>
      <c r="C70" t="s">
        <v>39</v>
      </c>
      <c r="D70" t="s">
        <v>13</v>
      </c>
      <c r="E70" t="s">
        <v>11</v>
      </c>
      <c r="F70" s="3">
        <v>30.09</v>
      </c>
      <c r="H70" t="s">
        <v>32</v>
      </c>
      <c r="I70">
        <v>3.64</v>
      </c>
      <c r="J70">
        <f t="shared" ref="J70" si="67">I68*I70</f>
        <v>1929.2</v>
      </c>
      <c r="K70" t="s">
        <v>13</v>
      </c>
    </row>
    <row r="71" spans="1:11">
      <c r="A71" s="1" t="str">
        <f t="shared" si="62"/>
        <v>H2 Heater (SFH 17kW)_Town_B-LVL_SFH</v>
      </c>
      <c r="B71" t="s">
        <v>8</v>
      </c>
      <c r="C71" t="s">
        <v>40</v>
      </c>
      <c r="D71" t="s">
        <v>10</v>
      </c>
      <c r="E71" t="s">
        <v>11</v>
      </c>
      <c r="F71" s="3">
        <v>1714</v>
      </c>
      <c r="I71">
        <v>1714</v>
      </c>
      <c r="J71">
        <f t="shared" ref="J71" si="68">I71/I71</f>
        <v>1</v>
      </c>
      <c r="K71" t="s">
        <v>10</v>
      </c>
    </row>
    <row r="72" spans="1:11">
      <c r="A72" s="1" t="str">
        <f t="shared" si="62"/>
        <v>H2 Heater (SFH 17kW)_Town_B-LVL_SFH</v>
      </c>
      <c r="B72" t="s">
        <v>8</v>
      </c>
      <c r="C72" t="s">
        <v>40</v>
      </c>
      <c r="D72" t="s">
        <v>12</v>
      </c>
      <c r="E72" t="s">
        <v>11</v>
      </c>
      <c r="F72" s="3">
        <v>0</v>
      </c>
      <c r="I72">
        <v>0</v>
      </c>
      <c r="J72">
        <f t="shared" ref="J72" si="69">I72</f>
        <v>0</v>
      </c>
      <c r="K72" t="s">
        <v>12</v>
      </c>
    </row>
    <row r="73" spans="1:11">
      <c r="A73" s="1" t="str">
        <f t="shared" si="62"/>
        <v>H2 Heater (SFH 17kW)_Town_B-LVL_SFH</v>
      </c>
      <c r="B73" t="s">
        <v>8</v>
      </c>
      <c r="C73" t="s">
        <v>40</v>
      </c>
      <c r="D73" t="s">
        <v>13</v>
      </c>
      <c r="E73" t="s">
        <v>11</v>
      </c>
      <c r="F73" s="3">
        <v>30.09</v>
      </c>
      <c r="H73" t="s">
        <v>32</v>
      </c>
      <c r="I73">
        <v>3.64</v>
      </c>
      <c r="J73">
        <f t="shared" ref="J73" si="70">I71*I73</f>
        <v>6238.96</v>
      </c>
      <c r="K73" t="s">
        <v>13</v>
      </c>
    </row>
    <row r="74" spans="1:11">
      <c r="A74" s="1" t="str">
        <f t="shared" si="62"/>
        <v>H2 LOHC 7MWh_Anglikon_B-LVL_MFH</v>
      </c>
      <c r="B74" t="s">
        <v>8</v>
      </c>
      <c r="C74" t="s">
        <v>41</v>
      </c>
      <c r="D74" t="s">
        <v>10</v>
      </c>
      <c r="E74" t="s">
        <v>11</v>
      </c>
      <c r="F74" s="3">
        <v>44</v>
      </c>
      <c r="I74">
        <v>44</v>
      </c>
      <c r="J74">
        <f>I74/I74</f>
        <v>1</v>
      </c>
      <c r="K74" t="s">
        <v>10</v>
      </c>
    </row>
    <row r="75" spans="1:11">
      <c r="A75" s="1" t="str">
        <f t="shared" si="62"/>
        <v>H2 LOHC 7MWh_Anglikon_B-LVL_MFH</v>
      </c>
      <c r="B75" t="s">
        <v>8</v>
      </c>
      <c r="C75" t="s">
        <v>41</v>
      </c>
      <c r="D75" t="s">
        <v>12</v>
      </c>
      <c r="E75" t="s">
        <v>11</v>
      </c>
      <c r="F75" s="3">
        <v>0</v>
      </c>
      <c r="I75">
        <v>0</v>
      </c>
      <c r="J75">
        <f t="shared" ref="J75" si="71">I75</f>
        <v>0</v>
      </c>
      <c r="K75" t="s">
        <v>12</v>
      </c>
    </row>
    <row r="76" spans="1:11" ht="255">
      <c r="A76" s="1" t="str">
        <f t="shared" si="62"/>
        <v>H2 LOHC 7MWh_Anglikon_B-LVL_MFH</v>
      </c>
      <c r="B76" t="s">
        <v>8</v>
      </c>
      <c r="C76" t="s">
        <v>41</v>
      </c>
      <c r="D76" t="s">
        <v>13</v>
      </c>
      <c r="E76" t="s">
        <v>11</v>
      </c>
      <c r="F76" s="3" t="s">
        <v>42</v>
      </c>
      <c r="H76" t="s">
        <v>32</v>
      </c>
      <c r="I76">
        <v>128310</v>
      </c>
      <c r="J76">
        <f t="shared" ref="J76" si="72">I74*I76</f>
        <v>5645640</v>
      </c>
      <c r="K76" t="s">
        <v>13</v>
      </c>
    </row>
    <row r="77" spans="1:11">
      <c r="A77" s="1" t="str">
        <f t="shared" si="62"/>
        <v>H2 LOHC 7MWh_Anglikon_B-LVL_SFH</v>
      </c>
      <c r="B77" t="s">
        <v>8</v>
      </c>
      <c r="C77" t="s">
        <v>43</v>
      </c>
      <c r="D77" t="s">
        <v>10</v>
      </c>
      <c r="E77" t="s">
        <v>11</v>
      </c>
      <c r="F77" s="3">
        <v>279</v>
      </c>
      <c r="I77">
        <v>279</v>
      </c>
      <c r="J77">
        <f t="shared" ref="J77" si="73">I77/I77</f>
        <v>1</v>
      </c>
      <c r="K77" t="s">
        <v>10</v>
      </c>
    </row>
    <row r="78" spans="1:11">
      <c r="A78" s="1" t="str">
        <f t="shared" si="62"/>
        <v>H2 LOHC 7MWh_Anglikon_B-LVL_SFH</v>
      </c>
      <c r="B78" t="s">
        <v>8</v>
      </c>
      <c r="C78" t="s">
        <v>43</v>
      </c>
      <c r="D78" t="s">
        <v>12</v>
      </c>
      <c r="E78" t="s">
        <v>11</v>
      </c>
      <c r="F78" s="3">
        <v>0</v>
      </c>
      <c r="I78">
        <v>0</v>
      </c>
      <c r="J78">
        <f t="shared" ref="J78" si="74">I78</f>
        <v>0</v>
      </c>
      <c r="K78" t="s">
        <v>12</v>
      </c>
    </row>
    <row r="79" spans="1:11" ht="255">
      <c r="A79" s="1" t="str">
        <f t="shared" si="62"/>
        <v>H2 LOHC 7MWh_Anglikon_B-LVL_SFH</v>
      </c>
      <c r="B79" t="s">
        <v>8</v>
      </c>
      <c r="C79" t="s">
        <v>43</v>
      </c>
      <c r="D79" t="s">
        <v>13</v>
      </c>
      <c r="E79" t="s">
        <v>11</v>
      </c>
      <c r="F79" s="3" t="s">
        <v>42</v>
      </c>
      <c r="H79" t="s">
        <v>32</v>
      </c>
      <c r="I79">
        <v>128310</v>
      </c>
      <c r="J79">
        <f t="shared" ref="J79" si="75">I77*I79</f>
        <v>35798490</v>
      </c>
      <c r="K79" t="s">
        <v>13</v>
      </c>
    </row>
    <row r="80" spans="1:11">
      <c r="A80" s="1" t="str">
        <f t="shared" si="62"/>
        <v>H2 LOHC 7MWh_Oberdorf_B-LVL_MFH</v>
      </c>
      <c r="B80" t="s">
        <v>8</v>
      </c>
      <c r="C80" t="s">
        <v>44</v>
      </c>
      <c r="D80" t="s">
        <v>10</v>
      </c>
      <c r="E80" t="s">
        <v>11</v>
      </c>
      <c r="F80" s="3">
        <v>71</v>
      </c>
      <c r="I80">
        <v>71</v>
      </c>
      <c r="J80">
        <f t="shared" ref="J80" si="76">I80/I80</f>
        <v>1</v>
      </c>
      <c r="K80" t="s">
        <v>10</v>
      </c>
    </row>
    <row r="81" spans="1:11">
      <c r="A81" s="1" t="str">
        <f t="shared" si="62"/>
        <v>H2 LOHC 7MWh_Oberdorf_B-LVL_MFH</v>
      </c>
      <c r="B81" t="s">
        <v>8</v>
      </c>
      <c r="C81" t="s">
        <v>44</v>
      </c>
      <c r="D81" t="s">
        <v>12</v>
      </c>
      <c r="E81" t="s">
        <v>11</v>
      </c>
      <c r="F81" s="3">
        <v>0</v>
      </c>
      <c r="I81">
        <v>0</v>
      </c>
      <c r="J81">
        <f t="shared" ref="J81" si="77">I81</f>
        <v>0</v>
      </c>
      <c r="K81" t="s">
        <v>12</v>
      </c>
    </row>
    <row r="82" spans="1:11" ht="255">
      <c r="A82" s="1" t="str">
        <f t="shared" si="62"/>
        <v>H2 LOHC 7MWh_Oberdorf_B-LVL_MFH</v>
      </c>
      <c r="B82" t="s">
        <v>8</v>
      </c>
      <c r="C82" t="s">
        <v>44</v>
      </c>
      <c r="D82" t="s">
        <v>13</v>
      </c>
      <c r="E82" t="s">
        <v>11</v>
      </c>
      <c r="F82" s="3" t="s">
        <v>42</v>
      </c>
      <c r="H82" t="s">
        <v>32</v>
      </c>
      <c r="I82">
        <v>128310</v>
      </c>
      <c r="J82">
        <f t="shared" ref="J82" si="78">I80*I82</f>
        <v>9110010</v>
      </c>
      <c r="K82" t="s">
        <v>13</v>
      </c>
    </row>
    <row r="83" spans="1:11">
      <c r="A83" s="1" t="str">
        <f t="shared" si="62"/>
        <v>H2 LOHC 7MWh_Oberdorf_B-LVL_SFH</v>
      </c>
      <c r="B83" t="s">
        <v>8</v>
      </c>
      <c r="C83" t="s">
        <v>45</v>
      </c>
      <c r="D83" t="s">
        <v>10</v>
      </c>
      <c r="E83" t="s">
        <v>11</v>
      </c>
      <c r="F83" s="3">
        <v>530</v>
      </c>
      <c r="I83">
        <v>530</v>
      </c>
      <c r="J83">
        <f t="shared" ref="J83" si="79">I83/I83</f>
        <v>1</v>
      </c>
      <c r="K83" t="s">
        <v>10</v>
      </c>
    </row>
    <row r="84" spans="1:11">
      <c r="A84" s="1" t="str">
        <f t="shared" si="62"/>
        <v>H2 LOHC 7MWh_Oberdorf_B-LVL_SFH</v>
      </c>
      <c r="B84" t="s">
        <v>8</v>
      </c>
      <c r="C84" t="s">
        <v>45</v>
      </c>
      <c r="D84" t="s">
        <v>12</v>
      </c>
      <c r="E84" t="s">
        <v>11</v>
      </c>
      <c r="F84" s="3">
        <v>0</v>
      </c>
      <c r="I84">
        <v>0</v>
      </c>
      <c r="J84">
        <f t="shared" ref="J84" si="80">I84</f>
        <v>0</v>
      </c>
      <c r="K84" t="s">
        <v>12</v>
      </c>
    </row>
    <row r="85" spans="1:11" ht="255">
      <c r="A85" s="1" t="str">
        <f t="shared" si="62"/>
        <v>H2 LOHC 7MWh_Oberdorf_B-LVL_SFH</v>
      </c>
      <c r="B85" t="s">
        <v>8</v>
      </c>
      <c r="C85" t="s">
        <v>45</v>
      </c>
      <c r="D85" t="s">
        <v>13</v>
      </c>
      <c r="E85" t="s">
        <v>11</v>
      </c>
      <c r="F85" s="3" t="s">
        <v>42</v>
      </c>
      <c r="I85">
        <v>3.34971</v>
      </c>
      <c r="J85">
        <f t="shared" ref="J85" si="81">I83*I85</f>
        <v>1775.3462999999999</v>
      </c>
      <c r="K85" t="s">
        <v>13</v>
      </c>
    </row>
    <row r="86" spans="1:11">
      <c r="A86" s="1" t="str">
        <f t="shared" si="62"/>
        <v>H2 LOHC 7MWh_Town_B-LVL_MFH</v>
      </c>
      <c r="B86" t="s">
        <v>8</v>
      </c>
      <c r="C86" t="s">
        <v>46</v>
      </c>
      <c r="D86" t="s">
        <v>10</v>
      </c>
      <c r="E86" t="s">
        <v>11</v>
      </c>
      <c r="F86" s="3">
        <v>537</v>
      </c>
      <c r="I86">
        <v>537</v>
      </c>
      <c r="J86">
        <f t="shared" ref="J86" si="82">I86/I86</f>
        <v>1</v>
      </c>
      <c r="K86" t="s">
        <v>10</v>
      </c>
    </row>
    <row r="87" spans="1:11">
      <c r="A87" s="1" t="str">
        <f t="shared" si="62"/>
        <v>H2 LOHC 7MWh_Town_B-LVL_MFH</v>
      </c>
      <c r="B87" t="s">
        <v>8</v>
      </c>
      <c r="C87" t="s">
        <v>46</v>
      </c>
      <c r="D87" t="s">
        <v>12</v>
      </c>
      <c r="E87" t="s">
        <v>11</v>
      </c>
      <c r="F87" s="3">
        <v>0</v>
      </c>
      <c r="I87">
        <v>0</v>
      </c>
      <c r="J87">
        <f t="shared" ref="J87" si="83">I87</f>
        <v>0</v>
      </c>
      <c r="K87" t="s">
        <v>12</v>
      </c>
    </row>
    <row r="88" spans="1:11" ht="255">
      <c r="A88" s="1" t="str">
        <f t="shared" si="62"/>
        <v>H2 LOHC 7MWh_Town_B-LVL_MFH</v>
      </c>
      <c r="B88" t="s">
        <v>8</v>
      </c>
      <c r="C88" t="s">
        <v>46</v>
      </c>
      <c r="D88" t="s">
        <v>13</v>
      </c>
      <c r="E88" t="s">
        <v>11</v>
      </c>
      <c r="F88" s="3" t="s">
        <v>42</v>
      </c>
      <c r="I88">
        <v>3.34971</v>
      </c>
      <c r="J88">
        <f t="shared" ref="J88" si="84">I86*I88</f>
        <v>1798.7942699999999</v>
      </c>
      <c r="K88" t="s">
        <v>13</v>
      </c>
    </row>
    <row r="89" spans="1:11">
      <c r="A89" s="1" t="str">
        <f t="shared" si="62"/>
        <v>H2 LOHC 7MWh_Town_B-LVL_SFH</v>
      </c>
      <c r="B89" t="s">
        <v>8</v>
      </c>
      <c r="C89" t="s">
        <v>47</v>
      </c>
      <c r="D89" t="s">
        <v>10</v>
      </c>
      <c r="E89" t="s">
        <v>11</v>
      </c>
      <c r="F89" s="3">
        <v>1714</v>
      </c>
      <c r="I89">
        <v>1714</v>
      </c>
      <c r="J89">
        <f t="shared" ref="J89" si="85">I89/I89</f>
        <v>1</v>
      </c>
      <c r="K89" t="s">
        <v>10</v>
      </c>
    </row>
    <row r="90" spans="1:11">
      <c r="A90" s="1" t="str">
        <f t="shared" si="62"/>
        <v>H2 LOHC 7MWh_Town_B-LVL_SFH</v>
      </c>
      <c r="B90" t="s">
        <v>8</v>
      </c>
      <c r="C90" t="s">
        <v>47</v>
      </c>
      <c r="D90" t="s">
        <v>12</v>
      </c>
      <c r="E90" t="s">
        <v>11</v>
      </c>
      <c r="F90" s="3">
        <v>0</v>
      </c>
      <c r="I90">
        <v>0</v>
      </c>
      <c r="J90">
        <f t="shared" ref="J90" si="86">I90</f>
        <v>0</v>
      </c>
      <c r="K90" t="s">
        <v>12</v>
      </c>
    </row>
    <row r="91" spans="1:11" ht="255">
      <c r="A91" s="1" t="str">
        <f t="shared" si="62"/>
        <v>H2 LOHC 7MWh_Town_B-LVL_SFH</v>
      </c>
      <c r="B91" t="s">
        <v>8</v>
      </c>
      <c r="C91" t="s">
        <v>47</v>
      </c>
      <c r="D91" t="s">
        <v>13</v>
      </c>
      <c r="E91" t="s">
        <v>11</v>
      </c>
      <c r="F91" s="3" t="s">
        <v>42</v>
      </c>
      <c r="I91">
        <v>3.34971</v>
      </c>
      <c r="J91">
        <f t="shared" ref="J91" si="87">I89*I91</f>
        <v>5741.4029399999999</v>
      </c>
      <c r="K91" t="s">
        <v>13</v>
      </c>
    </row>
    <row r="92" spans="1:11">
      <c r="A92" s="1" t="str">
        <f t="shared" si="62"/>
        <v>H2 Tank 16.7MWh_D-LVL_Anglikon</v>
      </c>
      <c r="B92" t="s">
        <v>8</v>
      </c>
      <c r="C92" t="s">
        <v>48</v>
      </c>
      <c r="D92" t="s">
        <v>10</v>
      </c>
      <c r="E92" t="s">
        <v>11</v>
      </c>
      <c r="F92" s="3">
        <v>10</v>
      </c>
      <c r="I92">
        <v>10</v>
      </c>
      <c r="J92">
        <f t="shared" ref="J92" si="88">I92/I92</f>
        <v>1</v>
      </c>
      <c r="K92" t="s">
        <v>10</v>
      </c>
    </row>
    <row r="93" spans="1:11">
      <c r="A93" s="1" t="str">
        <f t="shared" si="62"/>
        <v>H2 Tank 16.7MWh_D-LVL_Anglikon</v>
      </c>
      <c r="B93" t="s">
        <v>8</v>
      </c>
      <c r="C93" t="s">
        <v>48</v>
      </c>
      <c r="D93" t="s">
        <v>12</v>
      </c>
      <c r="E93" t="s">
        <v>11</v>
      </c>
      <c r="F93" s="3">
        <v>0</v>
      </c>
      <c r="I93">
        <v>0</v>
      </c>
      <c r="J93">
        <f t="shared" ref="J93" si="89">I93</f>
        <v>0</v>
      </c>
      <c r="K93" t="s">
        <v>12</v>
      </c>
    </row>
    <row r="94" spans="1:11">
      <c r="A94" s="1" t="str">
        <f t="shared" si="62"/>
        <v>H2 Tank 16.7MWh_D-LVL_Anglikon</v>
      </c>
      <c r="B94" t="s">
        <v>8</v>
      </c>
      <c r="C94" t="s">
        <v>48</v>
      </c>
      <c r="D94" t="s">
        <v>13</v>
      </c>
      <c r="E94" t="s">
        <v>11</v>
      </c>
      <c r="F94" s="3">
        <v>1018.7</v>
      </c>
      <c r="H94" t="s">
        <v>32</v>
      </c>
      <c r="I94">
        <v>198380</v>
      </c>
      <c r="J94">
        <f t="shared" ref="J94" si="90">I92*I94</f>
        <v>1983800</v>
      </c>
      <c r="K94" t="s">
        <v>13</v>
      </c>
    </row>
    <row r="95" spans="1:11">
      <c r="A95" s="1" t="str">
        <f t="shared" si="62"/>
        <v>H2 Tank 16.7MWh_D-LVL_Oberdorf</v>
      </c>
      <c r="B95" t="s">
        <v>8</v>
      </c>
      <c r="C95" t="s">
        <v>49</v>
      </c>
      <c r="D95" t="s">
        <v>10</v>
      </c>
      <c r="E95" t="s">
        <v>11</v>
      </c>
      <c r="F95" s="3">
        <v>10</v>
      </c>
      <c r="I95">
        <v>10</v>
      </c>
      <c r="J95">
        <f t="shared" ref="J95" si="91">I95/I95</f>
        <v>1</v>
      </c>
      <c r="K95" t="s">
        <v>10</v>
      </c>
    </row>
    <row r="96" spans="1:11">
      <c r="A96" s="1" t="str">
        <f t="shared" si="62"/>
        <v>H2 Tank 16.7MWh_D-LVL_Oberdorf</v>
      </c>
      <c r="B96" t="s">
        <v>8</v>
      </c>
      <c r="C96" t="s">
        <v>49</v>
      </c>
      <c r="D96" t="s">
        <v>12</v>
      </c>
      <c r="E96" t="s">
        <v>11</v>
      </c>
      <c r="F96" s="3">
        <v>0</v>
      </c>
      <c r="I96">
        <v>0</v>
      </c>
      <c r="J96">
        <f t="shared" ref="J96" si="92">I96</f>
        <v>0</v>
      </c>
      <c r="K96" t="s">
        <v>12</v>
      </c>
    </row>
    <row r="97" spans="1:11">
      <c r="A97" s="1" t="str">
        <f t="shared" si="62"/>
        <v>H2 Tank 16.7MWh_D-LVL_Oberdorf</v>
      </c>
      <c r="B97" t="s">
        <v>8</v>
      </c>
      <c r="C97" t="s">
        <v>49</v>
      </c>
      <c r="D97" t="s">
        <v>13</v>
      </c>
      <c r="E97" t="s">
        <v>11</v>
      </c>
      <c r="F97" s="3">
        <v>1018.7</v>
      </c>
      <c r="H97" t="s">
        <v>32</v>
      </c>
      <c r="I97">
        <v>198380</v>
      </c>
      <c r="J97">
        <f t="shared" ref="J97" si="93">I95*I97</f>
        <v>1983800</v>
      </c>
      <c r="K97" t="s">
        <v>13</v>
      </c>
    </row>
    <row r="98" spans="1:11">
      <c r="A98" s="1" t="str">
        <f t="shared" si="62"/>
        <v>H2 Tank 16.7MWh_D-LVL_Town</v>
      </c>
      <c r="B98" t="s">
        <v>8</v>
      </c>
      <c r="C98" t="s">
        <v>50</v>
      </c>
      <c r="D98" t="s">
        <v>10</v>
      </c>
      <c r="E98" t="s">
        <v>11</v>
      </c>
      <c r="F98" s="3">
        <v>10</v>
      </c>
      <c r="I98">
        <v>10</v>
      </c>
      <c r="J98">
        <f t="shared" ref="J98" si="94">I98/I98</f>
        <v>1</v>
      </c>
      <c r="K98" t="s">
        <v>10</v>
      </c>
    </row>
    <row r="99" spans="1:11">
      <c r="A99" s="1" t="str">
        <f t="shared" si="62"/>
        <v>H2 Tank 16.7MWh_D-LVL_Town</v>
      </c>
      <c r="B99" t="s">
        <v>8</v>
      </c>
      <c r="C99" t="s">
        <v>50</v>
      </c>
      <c r="D99" t="s">
        <v>12</v>
      </c>
      <c r="E99" t="s">
        <v>11</v>
      </c>
      <c r="F99" s="3">
        <v>0</v>
      </c>
      <c r="I99">
        <v>0</v>
      </c>
      <c r="J99">
        <f t="shared" ref="J99" si="95">I99</f>
        <v>0</v>
      </c>
      <c r="K99" t="s">
        <v>12</v>
      </c>
    </row>
    <row r="100" spans="1:11">
      <c r="A100" s="1" t="str">
        <f t="shared" si="62"/>
        <v>H2 Tank 16.7MWh_D-LVL_Town</v>
      </c>
      <c r="B100" t="s">
        <v>8</v>
      </c>
      <c r="C100" t="s">
        <v>50</v>
      </c>
      <c r="D100" t="s">
        <v>13</v>
      </c>
      <c r="E100" t="s">
        <v>11</v>
      </c>
      <c r="F100" s="3">
        <v>1018.7</v>
      </c>
      <c r="H100" t="s">
        <v>32</v>
      </c>
      <c r="I100">
        <v>198380</v>
      </c>
      <c r="J100">
        <f t="shared" ref="J100" si="96">I98*I100</f>
        <v>1983800</v>
      </c>
      <c r="K100" t="s">
        <v>13</v>
      </c>
    </row>
    <row r="101" spans="1:11">
      <c r="A101" s="1" t="str">
        <f t="shared" si="62"/>
        <v>H2-Alkaline Electrolyzer 2MW_Anglikon_B-LVL_MFH</v>
      </c>
      <c r="B101" t="s">
        <v>8</v>
      </c>
      <c r="C101" t="s">
        <v>51</v>
      </c>
      <c r="D101" t="s">
        <v>10</v>
      </c>
      <c r="E101" t="s">
        <v>11</v>
      </c>
      <c r="F101" s="3">
        <v>44</v>
      </c>
      <c r="I101">
        <v>44</v>
      </c>
      <c r="J101">
        <f t="shared" ref="J101" si="97">I101/I101</f>
        <v>1</v>
      </c>
      <c r="K101" t="s">
        <v>10</v>
      </c>
    </row>
    <row r="102" spans="1:11">
      <c r="A102" s="1" t="str">
        <f t="shared" si="62"/>
        <v>H2-Alkaline Electrolyzer 2MW_Anglikon_B-LVL_MFH</v>
      </c>
      <c r="B102" t="s">
        <v>8</v>
      </c>
      <c r="C102" t="s">
        <v>51</v>
      </c>
      <c r="D102" t="s">
        <v>12</v>
      </c>
      <c r="E102" t="s">
        <v>11</v>
      </c>
      <c r="F102" s="3">
        <v>0</v>
      </c>
      <c r="I102">
        <v>0</v>
      </c>
      <c r="J102">
        <f t="shared" ref="J102" si="98">I102</f>
        <v>0</v>
      </c>
      <c r="K102" t="s">
        <v>12</v>
      </c>
    </row>
    <row r="103" spans="1:11">
      <c r="A103" s="1" t="str">
        <f t="shared" si="62"/>
        <v>H2-Alkaline Electrolyzer 2MW_Anglikon_B-LVL_MFH</v>
      </c>
      <c r="B103" t="s">
        <v>8</v>
      </c>
      <c r="C103" t="s">
        <v>51</v>
      </c>
      <c r="D103" t="s">
        <v>13</v>
      </c>
      <c r="E103" t="s">
        <v>11</v>
      </c>
      <c r="F103" s="3">
        <v>1750</v>
      </c>
      <c r="H103" t="s">
        <v>32</v>
      </c>
      <c r="I103">
        <v>94.64</v>
      </c>
      <c r="J103">
        <f t="shared" ref="J103" si="99">I101*I103</f>
        <v>4164.16</v>
      </c>
      <c r="K103" t="s">
        <v>13</v>
      </c>
    </row>
    <row r="104" spans="1:11">
      <c r="A104" s="1" t="str">
        <f t="shared" si="62"/>
        <v>H2-Alkaline Electrolyzer 2MW_Oberdorf_B-LVL_MFH</v>
      </c>
      <c r="B104" t="s">
        <v>8</v>
      </c>
      <c r="C104" t="s">
        <v>52</v>
      </c>
      <c r="D104" t="s">
        <v>10</v>
      </c>
      <c r="E104" t="s">
        <v>11</v>
      </c>
      <c r="F104" s="3">
        <v>71</v>
      </c>
      <c r="I104">
        <v>71</v>
      </c>
      <c r="J104">
        <f t="shared" ref="J104" si="100">I104/I104</f>
        <v>1</v>
      </c>
      <c r="K104" t="s">
        <v>10</v>
      </c>
    </row>
    <row r="105" spans="1:11">
      <c r="A105" s="1" t="str">
        <f t="shared" si="62"/>
        <v>H2-Alkaline Electrolyzer 2MW_Oberdorf_B-LVL_MFH</v>
      </c>
      <c r="B105" t="s">
        <v>8</v>
      </c>
      <c r="C105" t="s">
        <v>52</v>
      </c>
      <c r="D105" t="s">
        <v>12</v>
      </c>
      <c r="E105" t="s">
        <v>11</v>
      </c>
      <c r="F105" s="3">
        <v>0</v>
      </c>
      <c r="I105">
        <v>0</v>
      </c>
      <c r="J105">
        <f t="shared" ref="J105" si="101">I105</f>
        <v>0</v>
      </c>
      <c r="K105" t="s">
        <v>12</v>
      </c>
    </row>
    <row r="106" spans="1:11">
      <c r="A106" s="1" t="str">
        <f t="shared" si="62"/>
        <v>H2-Alkaline Electrolyzer 2MW_Oberdorf_B-LVL_MFH</v>
      </c>
      <c r="B106" t="s">
        <v>8</v>
      </c>
      <c r="C106" t="s">
        <v>52</v>
      </c>
      <c r="D106" t="s">
        <v>13</v>
      </c>
      <c r="E106" t="s">
        <v>11</v>
      </c>
      <c r="F106" s="3">
        <v>1750</v>
      </c>
      <c r="H106" t="s">
        <v>32</v>
      </c>
      <c r="I106">
        <v>94.64</v>
      </c>
      <c r="J106">
        <f t="shared" ref="J106" si="102">I104*I106</f>
        <v>6719.44</v>
      </c>
      <c r="K106" t="s">
        <v>13</v>
      </c>
    </row>
    <row r="107" spans="1:11">
      <c r="A107" s="1" t="str">
        <f t="shared" si="62"/>
        <v>H2-Alkaline Electrolyzer 2MW_Town_B-LVL_MFH</v>
      </c>
      <c r="B107" t="s">
        <v>8</v>
      </c>
      <c r="C107" t="s">
        <v>53</v>
      </c>
      <c r="D107" t="s">
        <v>10</v>
      </c>
      <c r="E107" t="s">
        <v>11</v>
      </c>
      <c r="F107" s="3">
        <v>537</v>
      </c>
      <c r="I107">
        <v>537</v>
      </c>
      <c r="J107">
        <f t="shared" ref="J107" si="103">I107/I107</f>
        <v>1</v>
      </c>
      <c r="K107" t="s">
        <v>10</v>
      </c>
    </row>
    <row r="108" spans="1:11">
      <c r="A108" s="1" t="str">
        <f t="shared" si="62"/>
        <v>H2-Alkaline Electrolyzer 2MW_Town_B-LVL_MFH</v>
      </c>
      <c r="B108" t="s">
        <v>8</v>
      </c>
      <c r="C108" t="s">
        <v>53</v>
      </c>
      <c r="D108" t="s">
        <v>12</v>
      </c>
      <c r="E108" t="s">
        <v>11</v>
      </c>
      <c r="F108" s="3">
        <v>0</v>
      </c>
      <c r="I108">
        <v>0</v>
      </c>
      <c r="J108">
        <f t="shared" ref="J108" si="104">I108</f>
        <v>0</v>
      </c>
      <c r="K108" t="s">
        <v>12</v>
      </c>
    </row>
    <row r="109" spans="1:11">
      <c r="A109" s="1" t="str">
        <f t="shared" si="62"/>
        <v>H2-Alkaline Electrolyzer 2MW_Town_B-LVL_MFH</v>
      </c>
      <c r="B109" t="s">
        <v>8</v>
      </c>
      <c r="C109" t="s">
        <v>53</v>
      </c>
      <c r="D109" t="s">
        <v>13</v>
      </c>
      <c r="E109" t="s">
        <v>11</v>
      </c>
      <c r="F109" s="3">
        <v>1750</v>
      </c>
      <c r="H109" t="s">
        <v>32</v>
      </c>
      <c r="I109">
        <v>94.64</v>
      </c>
      <c r="J109">
        <f t="shared" ref="J109" si="105">I107*I109</f>
        <v>50821.68</v>
      </c>
      <c r="K109" t="s">
        <v>13</v>
      </c>
    </row>
    <row r="110" spans="1:11">
      <c r="A110" s="1" t="str">
        <f t="shared" si="62"/>
        <v>H2-Alkaline Electrolyzer 100MW_D-LVL_Anglikon</v>
      </c>
      <c r="B110" t="s">
        <v>8</v>
      </c>
      <c r="C110" t="s">
        <v>54</v>
      </c>
      <c r="D110" t="s">
        <v>10</v>
      </c>
      <c r="E110" t="s">
        <v>11</v>
      </c>
      <c r="F110" s="3">
        <v>5</v>
      </c>
      <c r="I110">
        <v>5</v>
      </c>
      <c r="J110">
        <f t="shared" ref="J110" si="106">I110/I110</f>
        <v>1</v>
      </c>
      <c r="K110" t="s">
        <v>10</v>
      </c>
    </row>
    <row r="111" spans="1:11">
      <c r="A111" s="1" t="str">
        <f t="shared" si="62"/>
        <v>H2-Alkaline Electrolyzer 100MW_D-LVL_Anglikon</v>
      </c>
      <c r="B111" t="s">
        <v>8</v>
      </c>
      <c r="C111" t="s">
        <v>54</v>
      </c>
      <c r="D111" t="s">
        <v>12</v>
      </c>
      <c r="E111" t="s">
        <v>11</v>
      </c>
      <c r="F111" s="3">
        <v>0</v>
      </c>
      <c r="I111">
        <v>0</v>
      </c>
      <c r="J111">
        <f t="shared" ref="J111" si="107">I111</f>
        <v>0</v>
      </c>
      <c r="K111" t="s">
        <v>12</v>
      </c>
    </row>
    <row r="112" spans="1:11">
      <c r="A112" s="1" t="str">
        <f t="shared" si="62"/>
        <v>H2-Alkaline Electrolyzer 100MW_D-LVL_Anglikon</v>
      </c>
      <c r="B112" t="s">
        <v>8</v>
      </c>
      <c r="C112" t="s">
        <v>54</v>
      </c>
      <c r="D112" t="s">
        <v>13</v>
      </c>
      <c r="E112" t="s">
        <v>11</v>
      </c>
      <c r="F112" s="3">
        <v>55000</v>
      </c>
      <c r="H112" t="s">
        <v>32</v>
      </c>
      <c r="I112">
        <v>4732</v>
      </c>
      <c r="J112">
        <f t="shared" ref="J112" si="108">I110*I112</f>
        <v>23660</v>
      </c>
      <c r="K112" t="s">
        <v>13</v>
      </c>
    </row>
    <row r="113" spans="1:11">
      <c r="A113" s="1" t="str">
        <f t="shared" si="62"/>
        <v>H2-Alkaline Electrolyzer 100MW_D-LVL_Oberdorf</v>
      </c>
      <c r="B113" t="s">
        <v>8</v>
      </c>
      <c r="C113" t="s">
        <v>55</v>
      </c>
      <c r="D113" t="s">
        <v>10</v>
      </c>
      <c r="E113" t="s">
        <v>11</v>
      </c>
      <c r="F113" s="3">
        <v>5</v>
      </c>
      <c r="I113">
        <v>5</v>
      </c>
      <c r="J113">
        <f t="shared" ref="J113" si="109">I113/I113</f>
        <v>1</v>
      </c>
      <c r="K113" t="s">
        <v>10</v>
      </c>
    </row>
    <row r="114" spans="1:11">
      <c r="A114" s="1" t="str">
        <f t="shared" si="62"/>
        <v>H2-Alkaline Electrolyzer 100MW_D-LVL_Oberdorf</v>
      </c>
      <c r="B114" t="s">
        <v>8</v>
      </c>
      <c r="C114" t="s">
        <v>55</v>
      </c>
      <c r="D114" t="s">
        <v>12</v>
      </c>
      <c r="E114" t="s">
        <v>11</v>
      </c>
      <c r="F114" s="3">
        <v>0</v>
      </c>
      <c r="I114">
        <v>0</v>
      </c>
      <c r="J114">
        <f t="shared" ref="J114" si="110">I114</f>
        <v>0</v>
      </c>
      <c r="K114" t="s">
        <v>12</v>
      </c>
    </row>
    <row r="115" spans="1:11">
      <c r="A115" s="1" t="str">
        <f t="shared" si="62"/>
        <v>H2-Alkaline Electrolyzer 100MW_D-LVL_Oberdorf</v>
      </c>
      <c r="B115" t="s">
        <v>8</v>
      </c>
      <c r="C115" t="s">
        <v>55</v>
      </c>
      <c r="D115" t="s">
        <v>13</v>
      </c>
      <c r="E115" t="s">
        <v>11</v>
      </c>
      <c r="F115" s="3">
        <v>55000</v>
      </c>
      <c r="H115" t="s">
        <v>32</v>
      </c>
      <c r="I115">
        <v>4732</v>
      </c>
      <c r="J115">
        <f t="shared" ref="J115" si="111">I113*I115</f>
        <v>23660</v>
      </c>
      <c r="K115" t="s">
        <v>13</v>
      </c>
    </row>
    <row r="116" spans="1:11">
      <c r="A116" s="1" t="str">
        <f t="shared" si="62"/>
        <v>H2-Alkaline Electrolyzer 100MW_D-LVL_Town</v>
      </c>
      <c r="B116" t="s">
        <v>8</v>
      </c>
      <c r="C116" t="s">
        <v>56</v>
      </c>
      <c r="D116" t="s">
        <v>10</v>
      </c>
      <c r="E116" t="s">
        <v>11</v>
      </c>
      <c r="F116" s="3">
        <v>5</v>
      </c>
      <c r="I116">
        <v>5</v>
      </c>
      <c r="J116">
        <f t="shared" ref="J116" si="112">I116/I116</f>
        <v>1</v>
      </c>
      <c r="K116" t="s">
        <v>10</v>
      </c>
    </row>
    <row r="117" spans="1:11">
      <c r="A117" s="1" t="str">
        <f t="shared" si="62"/>
        <v>H2-Alkaline Electrolyzer 100MW_D-LVL_Town</v>
      </c>
      <c r="B117" t="s">
        <v>8</v>
      </c>
      <c r="C117" t="s">
        <v>56</v>
      </c>
      <c r="D117" t="s">
        <v>12</v>
      </c>
      <c r="E117" t="s">
        <v>11</v>
      </c>
      <c r="F117" s="3">
        <v>0</v>
      </c>
      <c r="I117">
        <v>0</v>
      </c>
      <c r="J117">
        <f t="shared" ref="J117" si="113">I117</f>
        <v>0</v>
      </c>
      <c r="K117" t="s">
        <v>12</v>
      </c>
    </row>
    <row r="118" spans="1:11">
      <c r="A118" s="1" t="str">
        <f t="shared" si="62"/>
        <v>H2-Alkaline Electrolyzer 100MW_D-LVL_Town</v>
      </c>
      <c r="B118" t="s">
        <v>8</v>
      </c>
      <c r="C118" t="s">
        <v>56</v>
      </c>
      <c r="D118" t="s">
        <v>13</v>
      </c>
      <c r="E118" t="s">
        <v>11</v>
      </c>
      <c r="F118" s="3">
        <v>55000</v>
      </c>
      <c r="H118" t="s">
        <v>32</v>
      </c>
      <c r="I118">
        <v>4732</v>
      </c>
      <c r="J118">
        <f t="shared" ref="J118" si="114">I116*I118</f>
        <v>23660</v>
      </c>
      <c r="K118" t="s">
        <v>13</v>
      </c>
    </row>
    <row r="119" spans="1:11">
      <c r="A119" s="1" t="str">
        <f t="shared" si="62"/>
        <v>H2-PEM Electrolyzer 1.2MW_Anglikon_B-LVL_MFH</v>
      </c>
      <c r="B119" t="s">
        <v>8</v>
      </c>
      <c r="C119" t="s">
        <v>57</v>
      </c>
      <c r="D119" t="s">
        <v>10</v>
      </c>
      <c r="E119" t="s">
        <v>11</v>
      </c>
      <c r="F119" s="3">
        <v>44</v>
      </c>
      <c r="I119">
        <v>44</v>
      </c>
      <c r="J119">
        <f t="shared" ref="J119" si="115">I119/I119</f>
        <v>1</v>
      </c>
      <c r="K119" t="s">
        <v>10</v>
      </c>
    </row>
    <row r="120" spans="1:11">
      <c r="A120" s="1" t="str">
        <f t="shared" si="62"/>
        <v>H2-PEM Electrolyzer 1.2MW_Anglikon_B-LVL_MFH</v>
      </c>
      <c r="B120" t="s">
        <v>8</v>
      </c>
      <c r="C120" t="s">
        <v>57</v>
      </c>
      <c r="D120" t="s">
        <v>12</v>
      </c>
      <c r="E120" t="s">
        <v>11</v>
      </c>
      <c r="F120" s="3">
        <v>0</v>
      </c>
      <c r="I120">
        <v>0</v>
      </c>
      <c r="J120">
        <f t="shared" ref="J120" si="116">I120</f>
        <v>0</v>
      </c>
      <c r="K120" t="s">
        <v>12</v>
      </c>
    </row>
    <row r="121" spans="1:11">
      <c r="A121" s="1" t="str">
        <f t="shared" si="62"/>
        <v>H2-PEM Electrolyzer 1.2MW_Anglikon_B-LVL_MFH</v>
      </c>
      <c r="B121" t="s">
        <v>8</v>
      </c>
      <c r="C121" t="s">
        <v>57</v>
      </c>
      <c r="D121" t="s">
        <v>13</v>
      </c>
      <c r="E121" t="s">
        <v>11</v>
      </c>
      <c r="F121" s="3">
        <v>1140</v>
      </c>
      <c r="I121">
        <v>1140</v>
      </c>
      <c r="J121">
        <f t="shared" ref="J121" si="117">I119*I121</f>
        <v>50160</v>
      </c>
      <c r="K121" t="s">
        <v>13</v>
      </c>
    </row>
    <row r="122" spans="1:11">
      <c r="A122" s="1" t="str">
        <f t="shared" si="62"/>
        <v>H2-PEM Electrolyzer 1.2MW_Oberdorf_B-LVL_MFH</v>
      </c>
      <c r="B122" t="s">
        <v>8</v>
      </c>
      <c r="C122" t="s">
        <v>58</v>
      </c>
      <c r="D122" t="s">
        <v>10</v>
      </c>
      <c r="E122" t="s">
        <v>11</v>
      </c>
      <c r="F122" s="3">
        <v>71</v>
      </c>
      <c r="I122">
        <v>71</v>
      </c>
      <c r="J122">
        <f t="shared" ref="J122" si="118">I122/I122</f>
        <v>1</v>
      </c>
      <c r="K122" t="s">
        <v>10</v>
      </c>
    </row>
    <row r="123" spans="1:11">
      <c r="A123" s="1" t="str">
        <f t="shared" si="62"/>
        <v>H2-PEM Electrolyzer 1.2MW_Oberdorf_B-LVL_MFH</v>
      </c>
      <c r="B123" t="s">
        <v>8</v>
      </c>
      <c r="C123" t="s">
        <v>58</v>
      </c>
      <c r="D123" t="s">
        <v>12</v>
      </c>
      <c r="E123" t="s">
        <v>11</v>
      </c>
      <c r="F123" s="3">
        <v>0</v>
      </c>
      <c r="I123">
        <v>0</v>
      </c>
      <c r="J123">
        <f t="shared" ref="J123" si="119">I123</f>
        <v>0</v>
      </c>
      <c r="K123" t="s">
        <v>12</v>
      </c>
    </row>
    <row r="124" spans="1:11">
      <c r="A124" s="1" t="str">
        <f t="shared" si="62"/>
        <v>H2-PEM Electrolyzer 1.2MW_Oberdorf_B-LVL_MFH</v>
      </c>
      <c r="B124" t="s">
        <v>8</v>
      </c>
      <c r="C124" t="s">
        <v>58</v>
      </c>
      <c r="D124" t="s">
        <v>13</v>
      </c>
      <c r="E124" t="s">
        <v>11</v>
      </c>
      <c r="F124" s="3">
        <v>1140</v>
      </c>
      <c r="I124">
        <v>1140</v>
      </c>
      <c r="J124">
        <f t="shared" ref="J124" si="120">I122*I124</f>
        <v>80940</v>
      </c>
      <c r="K124" t="s">
        <v>13</v>
      </c>
    </row>
    <row r="125" spans="1:11">
      <c r="A125" s="1" t="str">
        <f t="shared" si="62"/>
        <v>H2-PEM Electrolyzer 1.2MW_Town_B-LVL_MFH</v>
      </c>
      <c r="B125" t="s">
        <v>8</v>
      </c>
      <c r="C125" t="s">
        <v>59</v>
      </c>
      <c r="D125" t="s">
        <v>10</v>
      </c>
      <c r="E125" t="s">
        <v>11</v>
      </c>
      <c r="F125" s="3">
        <v>537</v>
      </c>
      <c r="I125">
        <v>537</v>
      </c>
      <c r="J125">
        <f t="shared" ref="J125" si="121">I125/I125</f>
        <v>1</v>
      </c>
      <c r="K125" t="s">
        <v>10</v>
      </c>
    </row>
    <row r="126" spans="1:11">
      <c r="A126" s="1" t="str">
        <f t="shared" si="62"/>
        <v>H2-PEM Electrolyzer 1.2MW_Town_B-LVL_MFH</v>
      </c>
      <c r="B126" t="s">
        <v>8</v>
      </c>
      <c r="C126" t="s">
        <v>59</v>
      </c>
      <c r="D126" t="s">
        <v>12</v>
      </c>
      <c r="E126" t="s">
        <v>11</v>
      </c>
      <c r="F126" s="3">
        <v>0</v>
      </c>
      <c r="I126">
        <v>0</v>
      </c>
      <c r="J126">
        <f t="shared" ref="J126" si="122">I126</f>
        <v>0</v>
      </c>
      <c r="K126" t="s">
        <v>12</v>
      </c>
    </row>
    <row r="127" spans="1:11">
      <c r="A127" s="1" t="str">
        <f t="shared" si="62"/>
        <v>H2-PEM Electrolyzer 1.2MW_Town_B-LVL_MFH</v>
      </c>
      <c r="B127" t="s">
        <v>8</v>
      </c>
      <c r="C127" t="s">
        <v>59</v>
      </c>
      <c r="D127" t="s">
        <v>13</v>
      </c>
      <c r="E127" t="s">
        <v>11</v>
      </c>
      <c r="F127" s="3">
        <v>1140</v>
      </c>
      <c r="I127">
        <v>1140</v>
      </c>
      <c r="J127">
        <f t="shared" ref="J127" si="123">I125*I127</f>
        <v>612180</v>
      </c>
      <c r="K127" t="s">
        <v>13</v>
      </c>
    </row>
    <row r="128" spans="1:11">
      <c r="A128" s="1" t="str">
        <f t="shared" si="62"/>
        <v>H2-PEM Fuel Cell 1MW_Anglikon_B-LVL_MFH</v>
      </c>
      <c r="B128" t="s">
        <v>8</v>
      </c>
      <c r="C128" t="s">
        <v>60</v>
      </c>
      <c r="D128" t="s">
        <v>10</v>
      </c>
      <c r="E128" t="s">
        <v>11</v>
      </c>
      <c r="F128" s="3">
        <v>44</v>
      </c>
      <c r="I128">
        <v>44</v>
      </c>
      <c r="J128">
        <f t="shared" ref="J128" si="124">I128/I128</f>
        <v>1</v>
      </c>
      <c r="K128" t="s">
        <v>10</v>
      </c>
    </row>
    <row r="129" spans="1:11">
      <c r="A129" s="1" t="str">
        <f t="shared" si="62"/>
        <v>H2-PEM Fuel Cell 1MW_Anglikon_B-LVL_MFH</v>
      </c>
      <c r="B129" t="s">
        <v>8</v>
      </c>
      <c r="C129" t="s">
        <v>60</v>
      </c>
      <c r="D129" t="s">
        <v>12</v>
      </c>
      <c r="E129" t="s">
        <v>11</v>
      </c>
      <c r="F129" s="3">
        <v>0</v>
      </c>
      <c r="I129">
        <v>0</v>
      </c>
      <c r="J129">
        <f t="shared" ref="J129" si="125">I129</f>
        <v>0</v>
      </c>
      <c r="K129" t="s">
        <v>12</v>
      </c>
    </row>
    <row r="130" spans="1:11">
      <c r="A130" s="1" t="str">
        <f t="shared" ref="A130:A193" si="126">IFERROR(LEFT(C130, FIND(_xlfn.UNICHAR(448), C130) - 1), C130)</f>
        <v>H2-PEM Fuel Cell 1MW_Anglikon_B-LVL_MFH</v>
      </c>
      <c r="B130" t="s">
        <v>8</v>
      </c>
      <c r="C130" t="s">
        <v>60</v>
      </c>
      <c r="D130" t="s">
        <v>13</v>
      </c>
      <c r="E130" t="s">
        <v>11</v>
      </c>
      <c r="F130" s="3">
        <v>1169</v>
      </c>
      <c r="H130" t="s">
        <v>32</v>
      </c>
      <c r="I130">
        <v>455</v>
      </c>
      <c r="J130">
        <f t="shared" ref="J130" si="127">I128*I130</f>
        <v>20020</v>
      </c>
      <c r="K130" t="s">
        <v>13</v>
      </c>
    </row>
    <row r="131" spans="1:11">
      <c r="A131" s="1" t="str">
        <f t="shared" si="126"/>
        <v>H2-PEM Fuel Cell 1MW_Oberdorf_B-LVL_MFH</v>
      </c>
      <c r="B131" t="s">
        <v>8</v>
      </c>
      <c r="C131" t="s">
        <v>61</v>
      </c>
      <c r="D131" t="s">
        <v>10</v>
      </c>
      <c r="E131" t="s">
        <v>11</v>
      </c>
      <c r="F131" s="3">
        <v>71</v>
      </c>
      <c r="I131">
        <v>71</v>
      </c>
      <c r="J131">
        <f t="shared" ref="J131" si="128">I131/I131</f>
        <v>1</v>
      </c>
      <c r="K131" t="s">
        <v>10</v>
      </c>
    </row>
    <row r="132" spans="1:11">
      <c r="A132" s="1" t="str">
        <f t="shared" si="126"/>
        <v>H2-PEM Fuel Cell 1MW_Oberdorf_B-LVL_MFH</v>
      </c>
      <c r="B132" t="s">
        <v>8</v>
      </c>
      <c r="C132" t="s">
        <v>61</v>
      </c>
      <c r="D132" t="s">
        <v>12</v>
      </c>
      <c r="E132" t="s">
        <v>11</v>
      </c>
      <c r="F132" s="3">
        <v>0</v>
      </c>
      <c r="I132">
        <v>0</v>
      </c>
      <c r="J132">
        <f t="shared" ref="J132" si="129">I132</f>
        <v>0</v>
      </c>
      <c r="K132" t="s">
        <v>12</v>
      </c>
    </row>
    <row r="133" spans="1:11">
      <c r="A133" s="1" t="str">
        <f t="shared" si="126"/>
        <v>H2-PEM Fuel Cell 1MW_Oberdorf_B-LVL_MFH</v>
      </c>
      <c r="B133" t="s">
        <v>8</v>
      </c>
      <c r="C133" t="s">
        <v>61</v>
      </c>
      <c r="D133" t="s">
        <v>13</v>
      </c>
      <c r="E133" t="s">
        <v>11</v>
      </c>
      <c r="F133" s="3">
        <v>1169</v>
      </c>
      <c r="H133" t="s">
        <v>32</v>
      </c>
      <c r="I133">
        <v>455</v>
      </c>
      <c r="J133">
        <f t="shared" ref="J133" si="130">I131*I133</f>
        <v>32305</v>
      </c>
      <c r="K133" t="s">
        <v>13</v>
      </c>
    </row>
    <row r="134" spans="1:11">
      <c r="A134" s="1" t="str">
        <f t="shared" si="126"/>
        <v>H2-PEM Fuel Cell 1MW_Town_B-LVL_MFH</v>
      </c>
      <c r="B134" t="s">
        <v>8</v>
      </c>
      <c r="C134" t="s">
        <v>62</v>
      </c>
      <c r="D134" t="s">
        <v>10</v>
      </c>
      <c r="E134" t="s">
        <v>11</v>
      </c>
      <c r="F134" s="3">
        <v>537</v>
      </c>
      <c r="I134">
        <v>537</v>
      </c>
      <c r="J134">
        <f t="shared" ref="J134" si="131">I134/I134</f>
        <v>1</v>
      </c>
      <c r="K134" t="s">
        <v>10</v>
      </c>
    </row>
    <row r="135" spans="1:11">
      <c r="A135" s="1" t="str">
        <f t="shared" si="126"/>
        <v>H2-PEM Fuel Cell 1MW_Town_B-LVL_MFH</v>
      </c>
      <c r="B135" t="s">
        <v>8</v>
      </c>
      <c r="C135" t="s">
        <v>62</v>
      </c>
      <c r="D135" t="s">
        <v>12</v>
      </c>
      <c r="E135" t="s">
        <v>11</v>
      </c>
      <c r="F135" s="3">
        <v>0</v>
      </c>
      <c r="I135">
        <v>0</v>
      </c>
      <c r="J135">
        <f t="shared" ref="J135" si="132">I135</f>
        <v>0</v>
      </c>
      <c r="K135" t="s">
        <v>12</v>
      </c>
    </row>
    <row r="136" spans="1:11">
      <c r="A136" s="1" t="str">
        <f t="shared" si="126"/>
        <v>H2-PEM Fuel Cell 1MW_Town_B-LVL_MFH</v>
      </c>
      <c r="B136" t="s">
        <v>8</v>
      </c>
      <c r="C136" t="s">
        <v>62</v>
      </c>
      <c r="D136" t="s">
        <v>13</v>
      </c>
      <c r="E136" t="s">
        <v>11</v>
      </c>
      <c r="F136" s="3">
        <v>1169</v>
      </c>
      <c r="H136" t="s">
        <v>32</v>
      </c>
      <c r="I136">
        <v>455</v>
      </c>
      <c r="J136">
        <f t="shared" ref="J136" si="133">I134*I136</f>
        <v>244335</v>
      </c>
      <c r="K136" t="s">
        <v>13</v>
      </c>
    </row>
    <row r="137" spans="1:11">
      <c r="A137" s="1" t="str">
        <f t="shared" si="126"/>
        <v>H2-PEM Fuel Cell 100MW_D-LVL_Anglikon</v>
      </c>
      <c r="B137" t="s">
        <v>8</v>
      </c>
      <c r="C137" t="s">
        <v>63</v>
      </c>
      <c r="D137" t="s">
        <v>10</v>
      </c>
      <c r="E137" t="s">
        <v>11</v>
      </c>
      <c r="F137" s="3">
        <v>5</v>
      </c>
      <c r="I137">
        <v>5</v>
      </c>
      <c r="J137">
        <f t="shared" ref="J137" si="134">I137/I137</f>
        <v>1</v>
      </c>
      <c r="K137" t="s">
        <v>10</v>
      </c>
    </row>
    <row r="138" spans="1:11">
      <c r="A138" s="1" t="str">
        <f t="shared" si="126"/>
        <v>H2-PEM Fuel Cell 100MW_D-LVL_Anglikon</v>
      </c>
      <c r="B138" t="s">
        <v>8</v>
      </c>
      <c r="C138" t="s">
        <v>63</v>
      </c>
      <c r="D138" t="s">
        <v>12</v>
      </c>
      <c r="E138" t="s">
        <v>11</v>
      </c>
      <c r="F138" s="3">
        <v>0</v>
      </c>
      <c r="I138">
        <v>0</v>
      </c>
      <c r="J138">
        <f t="shared" ref="J138" si="135">I138</f>
        <v>0</v>
      </c>
      <c r="K138" t="s">
        <v>12</v>
      </c>
    </row>
    <row r="139" spans="1:11">
      <c r="A139" s="1" t="str">
        <f t="shared" si="126"/>
        <v>H2-PEM Fuel Cell 100MW_D-LVL_Anglikon</v>
      </c>
      <c r="B139" t="s">
        <v>8</v>
      </c>
      <c r="C139" t="s">
        <v>63</v>
      </c>
      <c r="D139" t="s">
        <v>13</v>
      </c>
      <c r="E139" t="s">
        <v>11</v>
      </c>
      <c r="F139" s="3">
        <v>76000</v>
      </c>
      <c r="H139" t="s">
        <v>32</v>
      </c>
      <c r="I139">
        <v>45500</v>
      </c>
      <c r="J139">
        <f t="shared" ref="J139" si="136">I137*I139</f>
        <v>227500</v>
      </c>
      <c r="K139" t="s">
        <v>13</v>
      </c>
    </row>
    <row r="140" spans="1:11">
      <c r="A140" s="1" t="str">
        <f t="shared" si="126"/>
        <v>H2-PEM Fuel Cell 100MW_D-LVL_Oberdorf</v>
      </c>
      <c r="B140" t="s">
        <v>8</v>
      </c>
      <c r="C140" t="s">
        <v>64</v>
      </c>
      <c r="D140" t="s">
        <v>10</v>
      </c>
      <c r="E140" t="s">
        <v>11</v>
      </c>
      <c r="F140" s="3">
        <v>5</v>
      </c>
      <c r="I140">
        <v>5</v>
      </c>
      <c r="J140">
        <f t="shared" ref="J140" si="137">I140/I140</f>
        <v>1</v>
      </c>
      <c r="K140" t="s">
        <v>10</v>
      </c>
    </row>
    <row r="141" spans="1:11">
      <c r="A141" s="1" t="str">
        <f t="shared" si="126"/>
        <v>H2-PEM Fuel Cell 100MW_D-LVL_Oberdorf</v>
      </c>
      <c r="B141" t="s">
        <v>8</v>
      </c>
      <c r="C141" t="s">
        <v>64</v>
      </c>
      <c r="D141" t="s">
        <v>12</v>
      </c>
      <c r="E141" t="s">
        <v>11</v>
      </c>
      <c r="F141" s="3">
        <v>0</v>
      </c>
      <c r="I141">
        <v>0</v>
      </c>
      <c r="J141">
        <f t="shared" ref="J141" si="138">I141</f>
        <v>0</v>
      </c>
      <c r="K141" t="s">
        <v>12</v>
      </c>
    </row>
    <row r="142" spans="1:11">
      <c r="A142" s="1" t="str">
        <f t="shared" si="126"/>
        <v>H2-PEM Fuel Cell 100MW_D-LVL_Oberdorf</v>
      </c>
      <c r="B142" t="s">
        <v>8</v>
      </c>
      <c r="C142" t="s">
        <v>64</v>
      </c>
      <c r="D142" t="s">
        <v>13</v>
      </c>
      <c r="E142" t="s">
        <v>11</v>
      </c>
      <c r="F142" s="3">
        <v>76000</v>
      </c>
      <c r="H142" t="s">
        <v>32</v>
      </c>
      <c r="I142">
        <v>45500</v>
      </c>
      <c r="J142">
        <f t="shared" ref="J142" si="139">I140*I142</f>
        <v>227500</v>
      </c>
      <c r="K142" t="s">
        <v>13</v>
      </c>
    </row>
    <row r="143" spans="1:11">
      <c r="A143" s="1" t="str">
        <f t="shared" si="126"/>
        <v>H2-PEM Fuel Cell 100MW_D-LVL_Town</v>
      </c>
      <c r="B143" t="s">
        <v>8</v>
      </c>
      <c r="C143" t="s">
        <v>65</v>
      </c>
      <c r="D143" t="s">
        <v>10</v>
      </c>
      <c r="E143" t="s">
        <v>11</v>
      </c>
      <c r="F143" s="3">
        <v>5</v>
      </c>
      <c r="I143">
        <v>5</v>
      </c>
      <c r="J143">
        <f t="shared" ref="J143" si="140">I143/I143</f>
        <v>1</v>
      </c>
      <c r="K143" t="s">
        <v>10</v>
      </c>
    </row>
    <row r="144" spans="1:11">
      <c r="A144" s="1" t="str">
        <f t="shared" si="126"/>
        <v>H2-PEM Fuel Cell 100MW_D-LVL_Town</v>
      </c>
      <c r="B144" t="s">
        <v>8</v>
      </c>
      <c r="C144" t="s">
        <v>65</v>
      </c>
      <c r="D144" t="s">
        <v>12</v>
      </c>
      <c r="E144" t="s">
        <v>11</v>
      </c>
      <c r="F144" s="3">
        <v>0</v>
      </c>
      <c r="I144">
        <v>0</v>
      </c>
      <c r="J144">
        <f t="shared" ref="J144" si="141">I144</f>
        <v>0</v>
      </c>
      <c r="K144" t="s">
        <v>12</v>
      </c>
    </row>
    <row r="145" spans="1:11">
      <c r="A145" s="1" t="str">
        <f t="shared" si="126"/>
        <v>H2-PEM Fuel Cell 100MW_D-LVL_Town</v>
      </c>
      <c r="B145" t="s">
        <v>8</v>
      </c>
      <c r="C145" t="s">
        <v>65</v>
      </c>
      <c r="D145" t="s">
        <v>13</v>
      </c>
      <c r="E145" t="s">
        <v>11</v>
      </c>
      <c r="F145" s="3">
        <v>76000</v>
      </c>
      <c r="H145" t="s">
        <v>32</v>
      </c>
      <c r="I145">
        <v>45500</v>
      </c>
      <c r="J145">
        <f t="shared" ref="J145" si="142">I143*I145</f>
        <v>227500</v>
      </c>
      <c r="K145" t="s">
        <v>13</v>
      </c>
    </row>
    <row r="146" spans="1:11">
      <c r="A146" s="1" t="str">
        <f t="shared" si="126"/>
        <v>H2-SO Electrolyzer 1MW_Anglikon_B-LVL_MFH</v>
      </c>
      <c r="B146" t="s">
        <v>8</v>
      </c>
      <c r="C146" t="s">
        <v>66</v>
      </c>
      <c r="D146" t="s">
        <v>10</v>
      </c>
      <c r="E146" t="s">
        <v>11</v>
      </c>
      <c r="F146" s="3">
        <v>44</v>
      </c>
      <c r="I146">
        <v>44</v>
      </c>
      <c r="J146">
        <f t="shared" ref="J146" si="143">I146/I146</f>
        <v>1</v>
      </c>
      <c r="K146" t="s">
        <v>10</v>
      </c>
    </row>
    <row r="147" spans="1:11">
      <c r="A147" s="1" t="str">
        <f t="shared" si="126"/>
        <v>H2-SO Electrolyzer 1MW_Anglikon_B-LVL_MFH</v>
      </c>
      <c r="B147" t="s">
        <v>8</v>
      </c>
      <c r="C147" t="s">
        <v>66</v>
      </c>
      <c r="D147" t="s">
        <v>12</v>
      </c>
      <c r="E147" t="s">
        <v>11</v>
      </c>
      <c r="F147" s="3">
        <v>0</v>
      </c>
      <c r="I147">
        <v>0</v>
      </c>
      <c r="J147">
        <f t="shared" ref="J147" si="144">I147</f>
        <v>0</v>
      </c>
      <c r="K147" t="s">
        <v>12</v>
      </c>
    </row>
    <row r="148" spans="1:11">
      <c r="A148" s="1" t="str">
        <f t="shared" si="126"/>
        <v>H2-SO Electrolyzer 1MW_Anglikon_B-LVL_MFH</v>
      </c>
      <c r="B148" t="s">
        <v>8</v>
      </c>
      <c r="C148" t="s">
        <v>66</v>
      </c>
      <c r="D148" t="s">
        <v>13</v>
      </c>
      <c r="E148" t="s">
        <v>11</v>
      </c>
      <c r="F148" s="3">
        <v>1725</v>
      </c>
      <c r="I148">
        <v>1725</v>
      </c>
      <c r="J148">
        <f t="shared" ref="J148" si="145">I146*I148</f>
        <v>75900</v>
      </c>
      <c r="K148" t="s">
        <v>13</v>
      </c>
    </row>
    <row r="149" spans="1:11">
      <c r="A149" s="1" t="str">
        <f t="shared" si="126"/>
        <v>H2-SO Electrolyzer 1MW_Oberdorf_B-LVL_MFH</v>
      </c>
      <c r="B149" t="s">
        <v>8</v>
      </c>
      <c r="C149" t="s">
        <v>67</v>
      </c>
      <c r="D149" t="s">
        <v>10</v>
      </c>
      <c r="E149" t="s">
        <v>11</v>
      </c>
      <c r="F149" s="3">
        <v>71</v>
      </c>
      <c r="I149">
        <v>71</v>
      </c>
      <c r="J149">
        <f t="shared" ref="J149" si="146">I149/I149</f>
        <v>1</v>
      </c>
      <c r="K149" t="s">
        <v>10</v>
      </c>
    </row>
    <row r="150" spans="1:11">
      <c r="A150" s="1" t="str">
        <f t="shared" si="126"/>
        <v>H2-SO Electrolyzer 1MW_Oberdorf_B-LVL_MFH</v>
      </c>
      <c r="B150" t="s">
        <v>8</v>
      </c>
      <c r="C150" t="s">
        <v>67</v>
      </c>
      <c r="D150" t="s">
        <v>12</v>
      </c>
      <c r="E150" t="s">
        <v>11</v>
      </c>
      <c r="F150" s="3">
        <v>0</v>
      </c>
      <c r="I150">
        <v>0</v>
      </c>
      <c r="J150">
        <f t="shared" ref="J150" si="147">I150</f>
        <v>0</v>
      </c>
      <c r="K150" t="s">
        <v>12</v>
      </c>
    </row>
    <row r="151" spans="1:11">
      <c r="A151" s="1" t="str">
        <f t="shared" si="126"/>
        <v>H2-SO Electrolyzer 1MW_Oberdorf_B-LVL_MFH</v>
      </c>
      <c r="B151" t="s">
        <v>8</v>
      </c>
      <c r="C151" t="s">
        <v>67</v>
      </c>
      <c r="D151" t="s">
        <v>13</v>
      </c>
      <c r="E151" t="s">
        <v>11</v>
      </c>
      <c r="F151" s="3">
        <v>1725</v>
      </c>
      <c r="I151">
        <v>1725</v>
      </c>
      <c r="J151">
        <f t="shared" ref="J151" si="148">I149*I151</f>
        <v>122475</v>
      </c>
      <c r="K151" t="s">
        <v>13</v>
      </c>
    </row>
    <row r="152" spans="1:11">
      <c r="A152" s="1" t="str">
        <f t="shared" si="126"/>
        <v>H2-SO Electrolyzer 1MW_Town_B-LVL_MFH</v>
      </c>
      <c r="B152" t="s">
        <v>8</v>
      </c>
      <c r="C152" t="s">
        <v>68</v>
      </c>
      <c r="D152" t="s">
        <v>10</v>
      </c>
      <c r="E152" t="s">
        <v>11</v>
      </c>
      <c r="F152" s="3">
        <v>537</v>
      </c>
      <c r="I152">
        <v>537</v>
      </c>
      <c r="J152">
        <f t="shared" ref="J152" si="149">I152/I152</f>
        <v>1</v>
      </c>
      <c r="K152" t="s">
        <v>10</v>
      </c>
    </row>
    <row r="153" spans="1:11">
      <c r="A153" s="1" t="str">
        <f t="shared" si="126"/>
        <v>H2-SO Electrolyzer 1MW_Town_B-LVL_MFH</v>
      </c>
      <c r="B153" t="s">
        <v>8</v>
      </c>
      <c r="C153" t="s">
        <v>68</v>
      </c>
      <c r="D153" t="s">
        <v>12</v>
      </c>
      <c r="E153" t="s">
        <v>11</v>
      </c>
      <c r="F153" s="3">
        <v>0</v>
      </c>
      <c r="I153">
        <v>0</v>
      </c>
      <c r="J153">
        <f t="shared" ref="J153" si="150">I153</f>
        <v>0</v>
      </c>
      <c r="K153" t="s">
        <v>12</v>
      </c>
    </row>
    <row r="154" spans="1:11">
      <c r="A154" s="1" t="str">
        <f t="shared" si="126"/>
        <v>H2-SO Electrolyzer 1MW_Town_B-LVL_MFH</v>
      </c>
      <c r="B154" t="s">
        <v>8</v>
      </c>
      <c r="C154" t="s">
        <v>68</v>
      </c>
      <c r="D154" t="s">
        <v>13</v>
      </c>
      <c r="E154" t="s">
        <v>11</v>
      </c>
      <c r="F154" s="3">
        <v>1725</v>
      </c>
      <c r="I154">
        <v>1725</v>
      </c>
      <c r="J154">
        <f t="shared" ref="J154" si="151">I152*I154</f>
        <v>926325</v>
      </c>
      <c r="K154" t="s">
        <v>13</v>
      </c>
    </row>
    <row r="155" spans="1:11">
      <c r="A155" s="1" t="str">
        <f t="shared" si="126"/>
        <v>H2-SO Fuel Cell 1MW_Anglikon_B-LVL_MFH</v>
      </c>
      <c r="B155" t="s">
        <v>8</v>
      </c>
      <c r="C155" t="s">
        <v>69</v>
      </c>
      <c r="D155" t="s">
        <v>10</v>
      </c>
      <c r="E155" t="s">
        <v>11</v>
      </c>
      <c r="F155" s="3">
        <v>44</v>
      </c>
      <c r="I155">
        <v>44</v>
      </c>
      <c r="J155">
        <f t="shared" ref="J155" si="152">I155/I155</f>
        <v>1</v>
      </c>
      <c r="K155" t="s">
        <v>10</v>
      </c>
    </row>
    <row r="156" spans="1:11">
      <c r="A156" s="1" t="str">
        <f t="shared" si="126"/>
        <v>H2-SO Fuel Cell 1MW_Anglikon_B-LVL_MFH</v>
      </c>
      <c r="B156" t="s">
        <v>8</v>
      </c>
      <c r="C156" t="s">
        <v>69</v>
      </c>
      <c r="D156" t="s">
        <v>12</v>
      </c>
      <c r="E156" t="s">
        <v>11</v>
      </c>
      <c r="F156" s="3">
        <v>0</v>
      </c>
      <c r="I156">
        <v>0</v>
      </c>
      <c r="J156">
        <f t="shared" ref="J156" si="153">I156</f>
        <v>0</v>
      </c>
      <c r="K156" t="s">
        <v>12</v>
      </c>
    </row>
    <row r="157" spans="1:11">
      <c r="A157" s="1" t="str">
        <f t="shared" si="126"/>
        <v>H2-SO Fuel Cell 1MW_Anglikon_B-LVL_MFH</v>
      </c>
      <c r="B157" t="s">
        <v>8</v>
      </c>
      <c r="C157" t="s">
        <v>69</v>
      </c>
      <c r="D157" t="s">
        <v>13</v>
      </c>
      <c r="E157" t="s">
        <v>11</v>
      </c>
      <c r="F157" s="3">
        <v>2126</v>
      </c>
      <c r="I157">
        <v>2126</v>
      </c>
      <c r="J157">
        <f t="shared" ref="J157" si="154">I155*I157</f>
        <v>93544</v>
      </c>
      <c r="K157" t="s">
        <v>13</v>
      </c>
    </row>
    <row r="158" spans="1:11">
      <c r="A158" s="1" t="str">
        <f t="shared" si="126"/>
        <v>H2-SO Fuel Cell 1MW_Oberdorf_B-LVL_MFH</v>
      </c>
      <c r="B158" t="s">
        <v>8</v>
      </c>
      <c r="C158" t="s">
        <v>70</v>
      </c>
      <c r="D158" t="s">
        <v>10</v>
      </c>
      <c r="E158" t="s">
        <v>11</v>
      </c>
      <c r="F158" s="3">
        <v>71</v>
      </c>
      <c r="I158">
        <v>71</v>
      </c>
      <c r="J158">
        <f t="shared" ref="J158" si="155">I158/I158</f>
        <v>1</v>
      </c>
      <c r="K158" t="s">
        <v>10</v>
      </c>
    </row>
    <row r="159" spans="1:11">
      <c r="A159" s="1" t="str">
        <f t="shared" si="126"/>
        <v>H2-SO Fuel Cell 1MW_Oberdorf_B-LVL_MFH</v>
      </c>
      <c r="B159" t="s">
        <v>8</v>
      </c>
      <c r="C159" t="s">
        <v>70</v>
      </c>
      <c r="D159" t="s">
        <v>12</v>
      </c>
      <c r="E159" t="s">
        <v>11</v>
      </c>
      <c r="F159" s="3">
        <v>0</v>
      </c>
      <c r="I159">
        <v>0</v>
      </c>
      <c r="J159">
        <f t="shared" ref="J159" si="156">I159</f>
        <v>0</v>
      </c>
      <c r="K159" t="s">
        <v>12</v>
      </c>
    </row>
    <row r="160" spans="1:11">
      <c r="A160" s="1" t="str">
        <f t="shared" si="126"/>
        <v>H2-SO Fuel Cell 1MW_Oberdorf_B-LVL_MFH</v>
      </c>
      <c r="B160" t="s">
        <v>8</v>
      </c>
      <c r="C160" t="s">
        <v>70</v>
      </c>
      <c r="D160" t="s">
        <v>13</v>
      </c>
      <c r="E160" t="s">
        <v>11</v>
      </c>
      <c r="F160" s="3">
        <v>2126</v>
      </c>
      <c r="I160">
        <v>2126</v>
      </c>
      <c r="J160">
        <f t="shared" ref="J160" si="157">I158*I160</f>
        <v>150946</v>
      </c>
      <c r="K160" t="s">
        <v>13</v>
      </c>
    </row>
    <row r="161" spans="1:11">
      <c r="A161" s="1" t="str">
        <f t="shared" si="126"/>
        <v>H2-SO Fuel Cell 1MW_Town_B-LVL_MFH</v>
      </c>
      <c r="B161" t="s">
        <v>8</v>
      </c>
      <c r="C161" t="s">
        <v>71</v>
      </c>
      <c r="D161" t="s">
        <v>10</v>
      </c>
      <c r="E161" t="s">
        <v>11</v>
      </c>
      <c r="F161" s="3">
        <v>537</v>
      </c>
      <c r="I161">
        <v>537</v>
      </c>
      <c r="J161">
        <f t="shared" ref="J161" si="158">I161/I161</f>
        <v>1</v>
      </c>
      <c r="K161" t="s">
        <v>10</v>
      </c>
    </row>
    <row r="162" spans="1:11">
      <c r="A162" s="1" t="str">
        <f t="shared" si="126"/>
        <v>H2-SO Fuel Cell 1MW_Town_B-LVL_MFH</v>
      </c>
      <c r="B162" t="s">
        <v>8</v>
      </c>
      <c r="C162" t="s">
        <v>71</v>
      </c>
      <c r="D162" t="s">
        <v>12</v>
      </c>
      <c r="E162" t="s">
        <v>11</v>
      </c>
      <c r="F162" s="3">
        <v>0</v>
      </c>
      <c r="I162">
        <v>0</v>
      </c>
      <c r="J162">
        <f t="shared" ref="J162" si="159">I162</f>
        <v>0</v>
      </c>
      <c r="K162" t="s">
        <v>12</v>
      </c>
    </row>
    <row r="163" spans="1:11">
      <c r="A163" s="1" t="str">
        <f t="shared" si="126"/>
        <v>H2-SO Fuel Cell 1MW_Town_B-LVL_MFH</v>
      </c>
      <c r="B163" t="s">
        <v>8</v>
      </c>
      <c r="C163" t="s">
        <v>71</v>
      </c>
      <c r="D163" t="s">
        <v>13</v>
      </c>
      <c r="E163" t="s">
        <v>11</v>
      </c>
      <c r="F163" s="3">
        <v>2126</v>
      </c>
      <c r="I163">
        <v>2126</v>
      </c>
      <c r="J163">
        <f t="shared" ref="J163" si="160">I161*I163</f>
        <v>1141662</v>
      </c>
      <c r="K163" t="s">
        <v>13</v>
      </c>
    </row>
    <row r="164" spans="1:11">
      <c r="A164" s="1" t="str">
        <f t="shared" si="126"/>
        <v>Heat Pump (air MFH 80kW)_Anglikon_B-LVL_MFH</v>
      </c>
      <c r="B164" t="s">
        <v>8</v>
      </c>
      <c r="C164" t="s">
        <v>72</v>
      </c>
      <c r="D164" t="s">
        <v>10</v>
      </c>
      <c r="E164" t="s">
        <v>11</v>
      </c>
      <c r="F164" s="3">
        <v>44</v>
      </c>
      <c r="I164">
        <v>44</v>
      </c>
      <c r="J164">
        <f t="shared" ref="J164" si="161">I164/I164</f>
        <v>1</v>
      </c>
      <c r="K164" t="s">
        <v>10</v>
      </c>
    </row>
    <row r="165" spans="1:11">
      <c r="A165" s="1" t="str">
        <f t="shared" si="126"/>
        <v>Heat Pump (air MFH 80kW)_Anglikon_B-LVL_MFH</v>
      </c>
      <c r="B165" t="s">
        <v>8</v>
      </c>
      <c r="C165" t="s">
        <v>72</v>
      </c>
      <c r="D165" t="s">
        <v>12</v>
      </c>
      <c r="E165" t="s">
        <v>11</v>
      </c>
      <c r="F165" s="3">
        <v>0</v>
      </c>
      <c r="I165">
        <v>0</v>
      </c>
      <c r="J165">
        <f t="shared" ref="J165" si="162">I165</f>
        <v>0</v>
      </c>
      <c r="K165" t="s">
        <v>12</v>
      </c>
    </row>
    <row r="166" spans="1:11" ht="225">
      <c r="A166" s="1" t="str">
        <f t="shared" si="126"/>
        <v>Heat Pump (air MFH 80kW)_Anglikon_B-LVL_MFH</v>
      </c>
      <c r="B166" t="s">
        <v>8</v>
      </c>
      <c r="C166" t="s">
        <v>72</v>
      </c>
      <c r="D166" t="s">
        <v>13</v>
      </c>
      <c r="E166" t="s">
        <v>11</v>
      </c>
      <c r="F166" s="3" t="s">
        <v>73</v>
      </c>
      <c r="I166">
        <v>176</v>
      </c>
      <c r="J166">
        <f t="shared" ref="J166" si="163">I164*I166</f>
        <v>7744</v>
      </c>
      <c r="K166" t="s">
        <v>13</v>
      </c>
    </row>
    <row r="167" spans="1:11">
      <c r="A167" s="1" t="str">
        <f t="shared" si="126"/>
        <v>Heat Pump (air MFH 80kW)_Oberdorf_B-LVL_MFH</v>
      </c>
      <c r="B167" t="s">
        <v>8</v>
      </c>
      <c r="C167" t="s">
        <v>74</v>
      </c>
      <c r="D167" t="s">
        <v>10</v>
      </c>
      <c r="E167" t="s">
        <v>11</v>
      </c>
      <c r="F167" s="3">
        <v>71</v>
      </c>
      <c r="I167">
        <v>71</v>
      </c>
      <c r="J167">
        <f t="shared" ref="J167" si="164">I167/I167</f>
        <v>1</v>
      </c>
      <c r="K167" t="s">
        <v>10</v>
      </c>
    </row>
    <row r="168" spans="1:11">
      <c r="A168" s="1" t="str">
        <f t="shared" si="126"/>
        <v>Heat Pump (air MFH 80kW)_Oberdorf_B-LVL_MFH</v>
      </c>
      <c r="B168" t="s">
        <v>8</v>
      </c>
      <c r="C168" t="s">
        <v>74</v>
      </c>
      <c r="D168" t="s">
        <v>12</v>
      </c>
      <c r="E168" t="s">
        <v>11</v>
      </c>
      <c r="F168" s="3">
        <v>0</v>
      </c>
      <c r="I168">
        <v>0</v>
      </c>
      <c r="J168">
        <f t="shared" ref="J168" si="165">I168</f>
        <v>0</v>
      </c>
      <c r="K168" t="s">
        <v>12</v>
      </c>
    </row>
    <row r="169" spans="1:11" ht="225">
      <c r="A169" s="1" t="str">
        <f t="shared" si="126"/>
        <v>Heat Pump (air MFH 80kW)_Oberdorf_B-LVL_MFH</v>
      </c>
      <c r="B169" t="s">
        <v>8</v>
      </c>
      <c r="C169" t="s">
        <v>74</v>
      </c>
      <c r="D169" t="s">
        <v>13</v>
      </c>
      <c r="E169" t="s">
        <v>11</v>
      </c>
      <c r="F169" s="3" t="s">
        <v>73</v>
      </c>
      <c r="I169">
        <v>176</v>
      </c>
      <c r="J169">
        <f t="shared" ref="J169" si="166">I167*I169</f>
        <v>12496</v>
      </c>
      <c r="K169" t="s">
        <v>13</v>
      </c>
    </row>
    <row r="170" spans="1:11">
      <c r="A170" s="1" t="str">
        <f t="shared" si="126"/>
        <v>Heat Pump (air MFH 80kW)_Town_B-LVL_MFH</v>
      </c>
      <c r="B170" t="s">
        <v>8</v>
      </c>
      <c r="C170" t="s">
        <v>75</v>
      </c>
      <c r="D170" t="s">
        <v>10</v>
      </c>
      <c r="E170" t="s">
        <v>11</v>
      </c>
      <c r="F170" s="3">
        <v>537</v>
      </c>
      <c r="I170">
        <v>537</v>
      </c>
      <c r="J170">
        <f t="shared" ref="J170" si="167">I170/I170</f>
        <v>1</v>
      </c>
      <c r="K170" t="s">
        <v>10</v>
      </c>
    </row>
    <row r="171" spans="1:11">
      <c r="A171" s="1" t="str">
        <f t="shared" si="126"/>
        <v>Heat Pump (air MFH 80kW)_Town_B-LVL_MFH</v>
      </c>
      <c r="B171" t="s">
        <v>8</v>
      </c>
      <c r="C171" t="s">
        <v>75</v>
      </c>
      <c r="D171" t="s">
        <v>12</v>
      </c>
      <c r="E171" t="s">
        <v>11</v>
      </c>
      <c r="F171" s="3">
        <v>0</v>
      </c>
      <c r="I171">
        <v>0</v>
      </c>
      <c r="J171">
        <f t="shared" ref="J171" si="168">I171</f>
        <v>0</v>
      </c>
      <c r="K171" t="s">
        <v>12</v>
      </c>
    </row>
    <row r="172" spans="1:11" ht="225">
      <c r="A172" s="1" t="str">
        <f t="shared" si="126"/>
        <v>Heat Pump (air MFH 80kW)_Town_B-LVL_MFH</v>
      </c>
      <c r="B172" t="s">
        <v>8</v>
      </c>
      <c r="C172" t="s">
        <v>75</v>
      </c>
      <c r="D172" t="s">
        <v>13</v>
      </c>
      <c r="E172" t="s">
        <v>11</v>
      </c>
      <c r="F172" s="3" t="s">
        <v>73</v>
      </c>
      <c r="I172">
        <v>176</v>
      </c>
      <c r="J172">
        <f t="shared" ref="J172" si="169">I170*I172</f>
        <v>94512</v>
      </c>
      <c r="K172" t="s">
        <v>13</v>
      </c>
    </row>
    <row r="173" spans="1:11">
      <c r="A173" s="1" t="str">
        <f t="shared" si="126"/>
        <v>Heat Pump (air SFH 17kW)_Anglikon_B-LVL_SFH</v>
      </c>
      <c r="B173" t="s">
        <v>8</v>
      </c>
      <c r="C173" t="s">
        <v>76</v>
      </c>
      <c r="D173" t="s">
        <v>10</v>
      </c>
      <c r="E173" t="s">
        <v>11</v>
      </c>
      <c r="F173" s="3">
        <v>279</v>
      </c>
      <c r="I173">
        <v>279</v>
      </c>
      <c r="J173">
        <f t="shared" ref="J173" si="170">I173/I173</f>
        <v>1</v>
      </c>
      <c r="K173" t="s">
        <v>10</v>
      </c>
    </row>
    <row r="174" spans="1:11">
      <c r="A174" s="1" t="str">
        <f t="shared" si="126"/>
        <v>Heat Pump (air SFH 17kW)_Anglikon_B-LVL_SFH</v>
      </c>
      <c r="B174" t="s">
        <v>8</v>
      </c>
      <c r="C174" t="s">
        <v>76</v>
      </c>
      <c r="D174" t="s">
        <v>12</v>
      </c>
      <c r="E174" t="s">
        <v>11</v>
      </c>
      <c r="F174" s="3">
        <v>0</v>
      </c>
      <c r="I174">
        <v>0</v>
      </c>
      <c r="J174">
        <f t="shared" ref="J174" si="171">I174</f>
        <v>0</v>
      </c>
      <c r="K174" t="s">
        <v>12</v>
      </c>
    </row>
    <row r="175" spans="1:11">
      <c r="A175" s="1" t="str">
        <f t="shared" si="126"/>
        <v>Heat Pump (air SFH 17kW)_Anglikon_B-LVL_SFH</v>
      </c>
      <c r="B175" t="s">
        <v>8</v>
      </c>
      <c r="C175" t="s">
        <v>76</v>
      </c>
      <c r="D175" t="s">
        <v>13</v>
      </c>
      <c r="E175" t="s">
        <v>11</v>
      </c>
      <c r="F175" s="3">
        <v>71.400000000000006</v>
      </c>
      <c r="I175">
        <v>71.400000000000006</v>
      </c>
      <c r="J175">
        <f t="shared" ref="J175" si="172">I173*I175</f>
        <v>19920.600000000002</v>
      </c>
      <c r="K175" t="s">
        <v>13</v>
      </c>
    </row>
    <row r="176" spans="1:11">
      <c r="A176" s="1" t="str">
        <f t="shared" si="126"/>
        <v>Heat Pump (air SFH 17kW)_Oberdorf_B-LVL_SFH</v>
      </c>
      <c r="B176" t="s">
        <v>8</v>
      </c>
      <c r="C176" t="s">
        <v>77</v>
      </c>
      <c r="D176" t="s">
        <v>10</v>
      </c>
      <c r="E176" t="s">
        <v>11</v>
      </c>
      <c r="F176" s="3">
        <v>530</v>
      </c>
      <c r="I176">
        <v>530</v>
      </c>
      <c r="J176">
        <f t="shared" ref="J176" si="173">I176/I176</f>
        <v>1</v>
      </c>
      <c r="K176" t="s">
        <v>10</v>
      </c>
    </row>
    <row r="177" spans="1:11">
      <c r="A177" s="1" t="str">
        <f t="shared" si="126"/>
        <v>Heat Pump (air SFH 17kW)_Oberdorf_B-LVL_SFH</v>
      </c>
      <c r="B177" t="s">
        <v>8</v>
      </c>
      <c r="C177" t="s">
        <v>77</v>
      </c>
      <c r="D177" t="s">
        <v>12</v>
      </c>
      <c r="E177" t="s">
        <v>11</v>
      </c>
      <c r="F177" s="3">
        <v>0</v>
      </c>
      <c r="I177">
        <v>0</v>
      </c>
      <c r="J177">
        <f t="shared" ref="J177" si="174">I177</f>
        <v>0</v>
      </c>
      <c r="K177" t="s">
        <v>12</v>
      </c>
    </row>
    <row r="178" spans="1:11">
      <c r="A178" s="1" t="str">
        <f t="shared" si="126"/>
        <v>Heat Pump (air SFH 17kW)_Oberdorf_B-LVL_SFH</v>
      </c>
      <c r="B178" t="s">
        <v>8</v>
      </c>
      <c r="C178" t="s">
        <v>77</v>
      </c>
      <c r="D178" t="s">
        <v>13</v>
      </c>
      <c r="E178" t="s">
        <v>11</v>
      </c>
      <c r="F178" s="3">
        <v>71.400000000000006</v>
      </c>
      <c r="I178">
        <v>71.400000000000006</v>
      </c>
      <c r="J178">
        <f t="shared" ref="J178" si="175">I176*I178</f>
        <v>37842</v>
      </c>
      <c r="K178" t="s">
        <v>13</v>
      </c>
    </row>
    <row r="179" spans="1:11">
      <c r="A179" s="1" t="str">
        <f t="shared" si="126"/>
        <v>Heat Pump (air SFH 17kW)_Town_B-LVL_SFH</v>
      </c>
      <c r="B179" t="s">
        <v>8</v>
      </c>
      <c r="C179" t="s">
        <v>78</v>
      </c>
      <c r="D179" t="s">
        <v>10</v>
      </c>
      <c r="E179" t="s">
        <v>11</v>
      </c>
      <c r="F179" s="3">
        <v>1714</v>
      </c>
      <c r="I179">
        <v>1714</v>
      </c>
      <c r="J179">
        <f t="shared" ref="J179" si="176">I179/I179</f>
        <v>1</v>
      </c>
      <c r="K179" t="s">
        <v>10</v>
      </c>
    </row>
    <row r="180" spans="1:11">
      <c r="A180" s="1" t="str">
        <f t="shared" si="126"/>
        <v>Heat Pump (air SFH 17kW)_Town_B-LVL_SFH</v>
      </c>
      <c r="B180" t="s">
        <v>8</v>
      </c>
      <c r="C180" t="s">
        <v>78</v>
      </c>
      <c r="D180" t="s">
        <v>12</v>
      </c>
      <c r="E180" t="s">
        <v>11</v>
      </c>
      <c r="F180" s="3">
        <v>0</v>
      </c>
      <c r="I180">
        <v>0</v>
      </c>
      <c r="J180">
        <f t="shared" ref="J180" si="177">I180</f>
        <v>0</v>
      </c>
      <c r="K180" t="s">
        <v>12</v>
      </c>
    </row>
    <row r="181" spans="1:11">
      <c r="A181" s="1" t="str">
        <f t="shared" si="126"/>
        <v>Heat Pump (air SFH 17kW)_Town_B-LVL_SFH</v>
      </c>
      <c r="B181" t="s">
        <v>8</v>
      </c>
      <c r="C181" t="s">
        <v>78</v>
      </c>
      <c r="D181" t="s">
        <v>13</v>
      </c>
      <c r="E181" t="s">
        <v>11</v>
      </c>
      <c r="F181" s="3">
        <v>71.400000000000006</v>
      </c>
      <c r="I181">
        <v>71.400000000000006</v>
      </c>
      <c r="J181">
        <f t="shared" ref="J181" si="178">I179*I181</f>
        <v>122379.6</v>
      </c>
      <c r="K181" t="s">
        <v>13</v>
      </c>
    </row>
    <row r="182" spans="1:11">
      <c r="A182" s="1" t="str">
        <f t="shared" si="126"/>
        <v>Heat Pump (ground 1MW)_D-LVL_Anglikon</v>
      </c>
      <c r="B182" t="s">
        <v>8</v>
      </c>
      <c r="C182" t="s">
        <v>79</v>
      </c>
      <c r="D182" t="s">
        <v>10</v>
      </c>
      <c r="E182" t="s">
        <v>11</v>
      </c>
      <c r="F182" s="3">
        <v>100</v>
      </c>
      <c r="I182">
        <v>100</v>
      </c>
      <c r="J182">
        <f t="shared" ref="J182" si="179">I182/I182</f>
        <v>1</v>
      </c>
      <c r="K182" t="s">
        <v>10</v>
      </c>
    </row>
    <row r="183" spans="1:11">
      <c r="A183" s="1" t="str">
        <f t="shared" si="126"/>
        <v>Heat Pump (ground 1MW)_D-LVL_Anglikon</v>
      </c>
      <c r="B183" t="s">
        <v>8</v>
      </c>
      <c r="C183" t="s">
        <v>79</v>
      </c>
      <c r="D183" t="s">
        <v>12</v>
      </c>
      <c r="E183" t="s">
        <v>11</v>
      </c>
      <c r="F183" s="3">
        <v>0</v>
      </c>
      <c r="I183">
        <v>0</v>
      </c>
      <c r="J183">
        <f t="shared" ref="J183" si="180">I183</f>
        <v>0</v>
      </c>
      <c r="K183" t="s">
        <v>12</v>
      </c>
    </row>
    <row r="184" spans="1:11" ht="135">
      <c r="A184" s="1" t="str">
        <f t="shared" si="126"/>
        <v>Heat Pump (ground 1MW)_D-LVL_Anglikon</v>
      </c>
      <c r="B184" t="s">
        <v>8</v>
      </c>
      <c r="C184" t="s">
        <v>79</v>
      </c>
      <c r="D184" t="s">
        <v>13</v>
      </c>
      <c r="E184" t="s">
        <v>11</v>
      </c>
      <c r="F184" s="3" t="s">
        <v>80</v>
      </c>
      <c r="I184">
        <v>700</v>
      </c>
      <c r="J184">
        <f t="shared" ref="J184" si="181">I182*I184</f>
        <v>70000</v>
      </c>
      <c r="K184" t="s">
        <v>13</v>
      </c>
    </row>
    <row r="185" spans="1:11">
      <c r="A185" s="1" t="str">
        <f t="shared" si="126"/>
        <v>Heat Pump (ground 1MW)_D-LVL_Oberdorf</v>
      </c>
      <c r="B185" t="s">
        <v>8</v>
      </c>
      <c r="C185" t="s">
        <v>81</v>
      </c>
      <c r="D185" t="s">
        <v>10</v>
      </c>
      <c r="E185" t="s">
        <v>11</v>
      </c>
      <c r="F185" s="3">
        <v>100</v>
      </c>
      <c r="I185">
        <v>100</v>
      </c>
      <c r="J185">
        <f t="shared" ref="J185" si="182">I185/I185</f>
        <v>1</v>
      </c>
      <c r="K185" t="s">
        <v>10</v>
      </c>
    </row>
    <row r="186" spans="1:11">
      <c r="A186" s="1" t="str">
        <f t="shared" si="126"/>
        <v>Heat Pump (ground 1MW)_D-LVL_Oberdorf</v>
      </c>
      <c r="B186" t="s">
        <v>8</v>
      </c>
      <c r="C186" t="s">
        <v>81</v>
      </c>
      <c r="D186" t="s">
        <v>12</v>
      </c>
      <c r="E186" t="s">
        <v>11</v>
      </c>
      <c r="F186" s="3">
        <v>0</v>
      </c>
      <c r="I186">
        <v>0</v>
      </c>
      <c r="J186">
        <f t="shared" ref="J186" si="183">I186</f>
        <v>0</v>
      </c>
      <c r="K186" t="s">
        <v>12</v>
      </c>
    </row>
    <row r="187" spans="1:11" ht="135">
      <c r="A187" s="1" t="str">
        <f t="shared" si="126"/>
        <v>Heat Pump (ground 1MW)_D-LVL_Oberdorf</v>
      </c>
      <c r="B187" t="s">
        <v>8</v>
      </c>
      <c r="C187" t="s">
        <v>81</v>
      </c>
      <c r="D187" t="s">
        <v>13</v>
      </c>
      <c r="E187" t="s">
        <v>11</v>
      </c>
      <c r="F187" s="3" t="s">
        <v>80</v>
      </c>
      <c r="I187">
        <v>700</v>
      </c>
      <c r="J187">
        <f t="shared" ref="J187" si="184">I185*I187</f>
        <v>70000</v>
      </c>
      <c r="K187" t="s">
        <v>13</v>
      </c>
    </row>
    <row r="188" spans="1:11">
      <c r="A188" s="1" t="str">
        <f t="shared" si="126"/>
        <v>Heat Pump (ground 1MW)_D-LVL_Town</v>
      </c>
      <c r="B188" t="s">
        <v>8</v>
      </c>
      <c r="C188" t="s">
        <v>82</v>
      </c>
      <c r="D188" t="s">
        <v>10</v>
      </c>
      <c r="E188" t="s">
        <v>11</v>
      </c>
      <c r="F188" s="3">
        <v>100</v>
      </c>
      <c r="I188">
        <v>100</v>
      </c>
      <c r="J188">
        <f t="shared" ref="J188" si="185">I188/I188</f>
        <v>1</v>
      </c>
      <c r="K188" t="s">
        <v>10</v>
      </c>
    </row>
    <row r="189" spans="1:11">
      <c r="A189" s="1" t="str">
        <f t="shared" si="126"/>
        <v>Heat Pump (ground 1MW)_D-LVL_Town</v>
      </c>
      <c r="B189" t="s">
        <v>8</v>
      </c>
      <c r="C189" t="s">
        <v>82</v>
      </c>
      <c r="D189" t="s">
        <v>12</v>
      </c>
      <c r="E189" t="s">
        <v>11</v>
      </c>
      <c r="F189" s="3">
        <v>0</v>
      </c>
      <c r="I189">
        <v>0</v>
      </c>
      <c r="J189">
        <f t="shared" ref="J189" si="186">I189</f>
        <v>0</v>
      </c>
      <c r="K189" t="s">
        <v>12</v>
      </c>
    </row>
    <row r="190" spans="1:11" ht="135">
      <c r="A190" s="1" t="str">
        <f t="shared" si="126"/>
        <v>Heat Pump (ground 1MW)_D-LVL_Town</v>
      </c>
      <c r="B190" t="s">
        <v>8</v>
      </c>
      <c r="C190" t="s">
        <v>82</v>
      </c>
      <c r="D190" t="s">
        <v>13</v>
      </c>
      <c r="E190" t="s">
        <v>11</v>
      </c>
      <c r="F190" s="3" t="s">
        <v>80</v>
      </c>
      <c r="I190">
        <v>700</v>
      </c>
      <c r="J190">
        <f t="shared" ref="J190" si="187">I188*I190</f>
        <v>70000</v>
      </c>
      <c r="K190" t="s">
        <v>13</v>
      </c>
    </row>
    <row r="191" spans="1:11">
      <c r="A191" s="1" t="str">
        <f t="shared" si="126"/>
        <v>Heat Pump (ground MFH 80kW)_Anglikon_B-LVL_MFH</v>
      </c>
      <c r="B191" t="s">
        <v>8</v>
      </c>
      <c r="C191" t="s">
        <v>83</v>
      </c>
      <c r="D191" t="s">
        <v>10</v>
      </c>
      <c r="E191" t="s">
        <v>11</v>
      </c>
      <c r="F191" s="3">
        <v>44</v>
      </c>
      <c r="I191">
        <v>44</v>
      </c>
      <c r="J191">
        <f t="shared" ref="J191" si="188">I191/I191</f>
        <v>1</v>
      </c>
      <c r="K191" t="s">
        <v>10</v>
      </c>
    </row>
    <row r="192" spans="1:11">
      <c r="A192" s="1" t="str">
        <f t="shared" si="126"/>
        <v>Heat Pump (ground MFH 80kW)_Anglikon_B-LVL_MFH</v>
      </c>
      <c r="B192" t="s">
        <v>8</v>
      </c>
      <c r="C192" t="s">
        <v>83</v>
      </c>
      <c r="D192" t="s">
        <v>12</v>
      </c>
      <c r="E192" t="s">
        <v>11</v>
      </c>
      <c r="F192" s="3">
        <v>0</v>
      </c>
      <c r="I192">
        <v>0</v>
      </c>
      <c r="J192">
        <f t="shared" ref="J192" si="189">I192</f>
        <v>0</v>
      </c>
      <c r="K192" t="s">
        <v>12</v>
      </c>
    </row>
    <row r="193" spans="1:11" ht="225">
      <c r="A193" s="1" t="str">
        <f t="shared" si="126"/>
        <v>Heat Pump (ground MFH 80kW)_Anglikon_B-LVL_MFH</v>
      </c>
      <c r="B193" t="s">
        <v>8</v>
      </c>
      <c r="C193" t="s">
        <v>83</v>
      </c>
      <c r="D193" t="s">
        <v>13</v>
      </c>
      <c r="E193" t="s">
        <v>11</v>
      </c>
      <c r="F193" s="3" t="s">
        <v>84</v>
      </c>
      <c r="I193">
        <v>368</v>
      </c>
      <c r="J193">
        <f t="shared" ref="J193" si="190">I191*I193</f>
        <v>16192</v>
      </c>
      <c r="K193" t="s">
        <v>13</v>
      </c>
    </row>
    <row r="194" spans="1:11">
      <c r="A194" s="1" t="str">
        <f t="shared" ref="A194:A257" si="191">IFERROR(LEFT(C194, FIND(_xlfn.UNICHAR(448), C194) - 1), C194)</f>
        <v>Heat Pump (ground MFH 80kW)_Oberdorf_B-LVL_MFH</v>
      </c>
      <c r="B194" t="s">
        <v>8</v>
      </c>
      <c r="C194" t="s">
        <v>85</v>
      </c>
      <c r="D194" t="s">
        <v>10</v>
      </c>
      <c r="E194" t="s">
        <v>11</v>
      </c>
      <c r="F194" s="3">
        <v>71</v>
      </c>
      <c r="I194">
        <v>71</v>
      </c>
      <c r="J194">
        <f t="shared" ref="J194" si="192">I194/I194</f>
        <v>1</v>
      </c>
      <c r="K194" t="s">
        <v>10</v>
      </c>
    </row>
    <row r="195" spans="1:11">
      <c r="A195" s="1" t="str">
        <f t="shared" si="191"/>
        <v>Heat Pump (ground MFH 80kW)_Oberdorf_B-LVL_MFH</v>
      </c>
      <c r="B195" t="s">
        <v>8</v>
      </c>
      <c r="C195" t="s">
        <v>85</v>
      </c>
      <c r="D195" t="s">
        <v>12</v>
      </c>
      <c r="E195" t="s">
        <v>11</v>
      </c>
      <c r="F195" s="3">
        <v>0</v>
      </c>
      <c r="I195">
        <v>0</v>
      </c>
      <c r="J195">
        <f t="shared" ref="J195" si="193">I195</f>
        <v>0</v>
      </c>
      <c r="K195" t="s">
        <v>12</v>
      </c>
    </row>
    <row r="196" spans="1:11" ht="225">
      <c r="A196" s="1" t="str">
        <f t="shared" si="191"/>
        <v>Heat Pump (ground MFH 80kW)_Oberdorf_B-LVL_MFH</v>
      </c>
      <c r="B196" t="s">
        <v>8</v>
      </c>
      <c r="C196" t="s">
        <v>85</v>
      </c>
      <c r="D196" t="s">
        <v>13</v>
      </c>
      <c r="E196" t="s">
        <v>11</v>
      </c>
      <c r="F196" s="3" t="s">
        <v>84</v>
      </c>
      <c r="I196">
        <v>368</v>
      </c>
      <c r="J196">
        <f t="shared" ref="J196" si="194">I194*I196</f>
        <v>26128</v>
      </c>
      <c r="K196" t="s">
        <v>13</v>
      </c>
    </row>
    <row r="197" spans="1:11">
      <c r="A197" s="1" t="str">
        <f t="shared" si="191"/>
        <v>Heat Pump (ground MFH 80kW)_Town_B-LVL_MFH</v>
      </c>
      <c r="B197" t="s">
        <v>8</v>
      </c>
      <c r="C197" t="s">
        <v>86</v>
      </c>
      <c r="D197" t="s">
        <v>10</v>
      </c>
      <c r="E197" t="s">
        <v>11</v>
      </c>
      <c r="F197" s="3">
        <v>537</v>
      </c>
      <c r="I197">
        <v>537</v>
      </c>
      <c r="J197">
        <f t="shared" ref="J197" si="195">I197/I197</f>
        <v>1</v>
      </c>
      <c r="K197" t="s">
        <v>10</v>
      </c>
    </row>
    <row r="198" spans="1:11">
      <c r="A198" s="1" t="str">
        <f t="shared" si="191"/>
        <v>Heat Pump (ground MFH 80kW)_Town_B-LVL_MFH</v>
      </c>
      <c r="B198" t="s">
        <v>8</v>
      </c>
      <c r="C198" t="s">
        <v>86</v>
      </c>
      <c r="D198" t="s">
        <v>12</v>
      </c>
      <c r="E198" t="s">
        <v>11</v>
      </c>
      <c r="F198" s="3">
        <v>0</v>
      </c>
      <c r="I198">
        <v>0</v>
      </c>
      <c r="J198">
        <f t="shared" ref="J198" si="196">I198</f>
        <v>0</v>
      </c>
      <c r="K198" t="s">
        <v>12</v>
      </c>
    </row>
    <row r="199" spans="1:11" ht="225">
      <c r="A199" s="1" t="str">
        <f t="shared" si="191"/>
        <v>Heat Pump (ground MFH 80kW)_Town_B-LVL_MFH</v>
      </c>
      <c r="B199" t="s">
        <v>8</v>
      </c>
      <c r="C199" t="s">
        <v>86</v>
      </c>
      <c r="D199" t="s">
        <v>13</v>
      </c>
      <c r="E199" t="s">
        <v>11</v>
      </c>
      <c r="F199" s="3" t="s">
        <v>84</v>
      </c>
      <c r="I199">
        <v>368</v>
      </c>
      <c r="J199">
        <f t="shared" ref="J199" si="197">I197*I199</f>
        <v>197616</v>
      </c>
      <c r="K199" t="s">
        <v>13</v>
      </c>
    </row>
    <row r="200" spans="1:11">
      <c r="A200" s="1" t="str">
        <f t="shared" si="191"/>
        <v>Heat Pump (ground SFH 17kW)_Anglikon_B-LVL_SFH</v>
      </c>
      <c r="B200" t="s">
        <v>8</v>
      </c>
      <c r="C200" t="s">
        <v>87</v>
      </c>
      <c r="D200" t="s">
        <v>10</v>
      </c>
      <c r="E200" t="s">
        <v>11</v>
      </c>
      <c r="F200" s="3">
        <v>279</v>
      </c>
      <c r="I200">
        <v>279</v>
      </c>
      <c r="J200">
        <f t="shared" ref="J200" si="198">I200/I200</f>
        <v>1</v>
      </c>
      <c r="K200" t="s">
        <v>10</v>
      </c>
    </row>
    <row r="201" spans="1:11">
      <c r="A201" s="1" t="str">
        <f t="shared" si="191"/>
        <v>Heat Pump (ground SFH 17kW)_Anglikon_B-LVL_SFH</v>
      </c>
      <c r="B201" t="s">
        <v>8</v>
      </c>
      <c r="C201" t="s">
        <v>87</v>
      </c>
      <c r="D201" t="s">
        <v>12</v>
      </c>
      <c r="E201" t="s">
        <v>11</v>
      </c>
      <c r="F201" s="3">
        <v>0</v>
      </c>
      <c r="I201">
        <v>0</v>
      </c>
      <c r="J201">
        <f t="shared" ref="J201" si="199">I201</f>
        <v>0</v>
      </c>
      <c r="K201" t="s">
        <v>12</v>
      </c>
    </row>
    <row r="202" spans="1:11">
      <c r="A202" s="1" t="str">
        <f t="shared" si="191"/>
        <v>Heat Pump (ground SFH 17kW)_Anglikon_B-LVL_SFH</v>
      </c>
      <c r="B202" t="s">
        <v>8</v>
      </c>
      <c r="C202" t="s">
        <v>87</v>
      </c>
      <c r="D202" t="s">
        <v>13</v>
      </c>
      <c r="E202" t="s">
        <v>11</v>
      </c>
      <c r="F202" s="3">
        <v>122.4</v>
      </c>
      <c r="I202">
        <v>122.4</v>
      </c>
      <c r="J202">
        <f t="shared" ref="J202" si="200">I200*I202</f>
        <v>34149.599999999999</v>
      </c>
      <c r="K202" t="s">
        <v>13</v>
      </c>
    </row>
    <row r="203" spans="1:11">
      <c r="A203" s="1" t="str">
        <f t="shared" si="191"/>
        <v>Heat Pump (ground SFH 17kW)_Oberdorf_B-LVL_SFH</v>
      </c>
      <c r="B203" t="s">
        <v>8</v>
      </c>
      <c r="C203" t="s">
        <v>88</v>
      </c>
      <c r="D203" t="s">
        <v>10</v>
      </c>
      <c r="E203" t="s">
        <v>11</v>
      </c>
      <c r="F203" s="3">
        <v>530</v>
      </c>
      <c r="I203">
        <v>530</v>
      </c>
      <c r="J203">
        <f t="shared" ref="J203" si="201">I203/I203</f>
        <v>1</v>
      </c>
      <c r="K203" t="s">
        <v>10</v>
      </c>
    </row>
    <row r="204" spans="1:11">
      <c r="A204" s="1" t="str">
        <f t="shared" si="191"/>
        <v>Heat Pump (ground SFH 17kW)_Oberdorf_B-LVL_SFH</v>
      </c>
      <c r="B204" t="s">
        <v>8</v>
      </c>
      <c r="C204" t="s">
        <v>88</v>
      </c>
      <c r="D204" t="s">
        <v>12</v>
      </c>
      <c r="E204" t="s">
        <v>11</v>
      </c>
      <c r="F204" s="3">
        <v>0</v>
      </c>
      <c r="I204">
        <v>0</v>
      </c>
      <c r="J204">
        <f t="shared" ref="J204" si="202">I204</f>
        <v>0</v>
      </c>
      <c r="K204" t="s">
        <v>12</v>
      </c>
    </row>
    <row r="205" spans="1:11">
      <c r="A205" s="1" t="str">
        <f t="shared" si="191"/>
        <v>Heat Pump (ground SFH 17kW)_Oberdorf_B-LVL_SFH</v>
      </c>
      <c r="B205" t="s">
        <v>8</v>
      </c>
      <c r="C205" t="s">
        <v>88</v>
      </c>
      <c r="D205" t="s">
        <v>13</v>
      </c>
      <c r="E205" t="s">
        <v>11</v>
      </c>
      <c r="F205" s="3">
        <v>122.4</v>
      </c>
      <c r="I205">
        <v>122.4</v>
      </c>
      <c r="J205">
        <f t="shared" ref="J205" si="203">I203*I205</f>
        <v>64872</v>
      </c>
      <c r="K205" t="s">
        <v>13</v>
      </c>
    </row>
    <row r="206" spans="1:11">
      <c r="A206" s="1" t="str">
        <f t="shared" si="191"/>
        <v>Heat Pump (ground SFH 17kW)_Town_B-LVL_SFH</v>
      </c>
      <c r="B206" t="s">
        <v>8</v>
      </c>
      <c r="C206" t="s">
        <v>89</v>
      </c>
      <c r="D206" t="s">
        <v>10</v>
      </c>
      <c r="E206" t="s">
        <v>11</v>
      </c>
      <c r="F206" s="3">
        <v>1714</v>
      </c>
      <c r="I206">
        <v>1714</v>
      </c>
      <c r="J206">
        <f t="shared" ref="J206" si="204">I206/I206</f>
        <v>1</v>
      </c>
      <c r="K206" t="s">
        <v>10</v>
      </c>
    </row>
    <row r="207" spans="1:11">
      <c r="A207" s="1" t="str">
        <f t="shared" si="191"/>
        <v>Heat Pump (ground SFH 17kW)_Town_B-LVL_SFH</v>
      </c>
      <c r="B207" t="s">
        <v>8</v>
      </c>
      <c r="C207" t="s">
        <v>89</v>
      </c>
      <c r="D207" t="s">
        <v>12</v>
      </c>
      <c r="E207" t="s">
        <v>11</v>
      </c>
      <c r="F207" s="3">
        <v>0</v>
      </c>
      <c r="I207">
        <v>0</v>
      </c>
      <c r="J207">
        <f t="shared" ref="J207" si="205">I207</f>
        <v>0</v>
      </c>
      <c r="K207" t="s">
        <v>12</v>
      </c>
    </row>
    <row r="208" spans="1:11">
      <c r="A208" s="1" t="str">
        <f t="shared" si="191"/>
        <v>Heat Pump (ground SFH 17kW)_Town_B-LVL_SFH</v>
      </c>
      <c r="B208" t="s">
        <v>8</v>
      </c>
      <c r="C208" t="s">
        <v>89</v>
      </c>
      <c r="D208" t="s">
        <v>13</v>
      </c>
      <c r="E208" t="s">
        <v>11</v>
      </c>
      <c r="F208" s="3">
        <v>122.4</v>
      </c>
      <c r="I208">
        <v>122.4</v>
      </c>
      <c r="J208">
        <f t="shared" ref="J208" si="206">I206*I208</f>
        <v>209793.6</v>
      </c>
      <c r="K208" t="s">
        <v>13</v>
      </c>
    </row>
    <row r="209" spans="1:11">
      <c r="A209" s="1" t="str">
        <f t="shared" si="191"/>
        <v>Heat Pump (water 1MW)_D-LVL_Anglikon</v>
      </c>
      <c r="B209" t="s">
        <v>8</v>
      </c>
      <c r="C209" t="s">
        <v>90</v>
      </c>
      <c r="D209" t="s">
        <v>10</v>
      </c>
      <c r="E209" t="s">
        <v>11</v>
      </c>
      <c r="F209" s="3">
        <v>100</v>
      </c>
      <c r="I209">
        <v>100</v>
      </c>
      <c r="J209">
        <f t="shared" ref="J209" si="207">I209/I209</f>
        <v>1</v>
      </c>
      <c r="K209" t="s">
        <v>10</v>
      </c>
    </row>
    <row r="210" spans="1:11">
      <c r="A210" s="1" t="str">
        <f t="shared" si="191"/>
        <v>Heat Pump (water 1MW)_D-LVL_Anglikon</v>
      </c>
      <c r="B210" t="s">
        <v>8</v>
      </c>
      <c r="C210" t="s">
        <v>90</v>
      </c>
      <c r="D210" t="s">
        <v>12</v>
      </c>
      <c r="E210" t="s">
        <v>11</v>
      </c>
      <c r="F210" s="3">
        <v>0</v>
      </c>
      <c r="I210">
        <v>0</v>
      </c>
      <c r="J210">
        <f t="shared" ref="J210" si="208">I210</f>
        <v>0</v>
      </c>
      <c r="K210" t="s">
        <v>12</v>
      </c>
    </row>
    <row r="211" spans="1:11" ht="135">
      <c r="A211" s="1" t="str">
        <f t="shared" si="191"/>
        <v>Heat Pump (water 1MW)_D-LVL_Anglikon</v>
      </c>
      <c r="B211" t="s">
        <v>8</v>
      </c>
      <c r="C211" t="s">
        <v>90</v>
      </c>
      <c r="D211" t="s">
        <v>13</v>
      </c>
      <c r="E211" t="s">
        <v>11</v>
      </c>
      <c r="F211" s="3" t="s">
        <v>91</v>
      </c>
      <c r="I211">
        <v>500</v>
      </c>
      <c r="J211">
        <f t="shared" ref="J211" si="209">I209*I211</f>
        <v>50000</v>
      </c>
      <c r="K211" t="s">
        <v>13</v>
      </c>
    </row>
    <row r="212" spans="1:11">
      <c r="A212" s="1" t="str">
        <f t="shared" si="191"/>
        <v>Heat Pump (water 1MW)_D-LVL_Oberdorf</v>
      </c>
      <c r="B212" t="s">
        <v>8</v>
      </c>
      <c r="C212" t="s">
        <v>92</v>
      </c>
      <c r="D212" t="s">
        <v>10</v>
      </c>
      <c r="E212" t="s">
        <v>11</v>
      </c>
      <c r="F212" s="3">
        <v>100</v>
      </c>
      <c r="I212">
        <v>100</v>
      </c>
      <c r="J212">
        <f t="shared" ref="J212" si="210">I212/I212</f>
        <v>1</v>
      </c>
      <c r="K212" t="s">
        <v>10</v>
      </c>
    </row>
    <row r="213" spans="1:11">
      <c r="A213" s="1" t="str">
        <f t="shared" si="191"/>
        <v>Heat Pump (water 1MW)_D-LVL_Oberdorf</v>
      </c>
      <c r="B213" t="s">
        <v>8</v>
      </c>
      <c r="C213" t="s">
        <v>92</v>
      </c>
      <c r="D213" t="s">
        <v>12</v>
      </c>
      <c r="E213" t="s">
        <v>11</v>
      </c>
      <c r="F213" s="3">
        <v>0</v>
      </c>
      <c r="I213">
        <v>0</v>
      </c>
      <c r="J213">
        <f t="shared" ref="J213" si="211">I213</f>
        <v>0</v>
      </c>
      <c r="K213" t="s">
        <v>12</v>
      </c>
    </row>
    <row r="214" spans="1:11" ht="135">
      <c r="A214" s="1" t="str">
        <f t="shared" si="191"/>
        <v>Heat Pump (water 1MW)_D-LVL_Oberdorf</v>
      </c>
      <c r="B214" t="s">
        <v>8</v>
      </c>
      <c r="C214" t="s">
        <v>92</v>
      </c>
      <c r="D214" t="s">
        <v>13</v>
      </c>
      <c r="E214" t="s">
        <v>11</v>
      </c>
      <c r="F214" s="3" t="s">
        <v>91</v>
      </c>
      <c r="I214">
        <v>500</v>
      </c>
      <c r="J214">
        <f t="shared" ref="J214" si="212">I212*I214</f>
        <v>50000</v>
      </c>
      <c r="K214" t="s">
        <v>13</v>
      </c>
    </row>
    <row r="215" spans="1:11">
      <c r="A215" s="1" t="str">
        <f t="shared" si="191"/>
        <v>Heat Pump (water 1MW)_D-LVL_Town</v>
      </c>
      <c r="B215" t="s">
        <v>8</v>
      </c>
      <c r="C215" t="s">
        <v>93</v>
      </c>
      <c r="D215" t="s">
        <v>10</v>
      </c>
      <c r="E215" t="s">
        <v>11</v>
      </c>
      <c r="F215" s="3">
        <v>100</v>
      </c>
      <c r="I215">
        <v>100</v>
      </c>
      <c r="J215">
        <f t="shared" ref="J215" si="213">I215/I215</f>
        <v>1</v>
      </c>
      <c r="K215" t="s">
        <v>10</v>
      </c>
    </row>
    <row r="216" spans="1:11">
      <c r="A216" s="1" t="str">
        <f t="shared" si="191"/>
        <v>Heat Pump (water 1MW)_D-LVL_Town</v>
      </c>
      <c r="B216" t="s">
        <v>8</v>
      </c>
      <c r="C216" t="s">
        <v>93</v>
      </c>
      <c r="D216" t="s">
        <v>12</v>
      </c>
      <c r="E216" t="s">
        <v>11</v>
      </c>
      <c r="F216" s="3">
        <v>0</v>
      </c>
      <c r="I216">
        <v>0</v>
      </c>
      <c r="J216">
        <f t="shared" ref="J216" si="214">I216</f>
        <v>0</v>
      </c>
      <c r="K216" t="s">
        <v>12</v>
      </c>
    </row>
    <row r="217" spans="1:11" ht="135">
      <c r="A217" s="1" t="str">
        <f t="shared" si="191"/>
        <v>Heat Pump (water 1MW)_D-LVL_Town</v>
      </c>
      <c r="B217" t="s">
        <v>8</v>
      </c>
      <c r="C217" t="s">
        <v>93</v>
      </c>
      <c r="D217" t="s">
        <v>13</v>
      </c>
      <c r="E217" t="s">
        <v>11</v>
      </c>
      <c r="F217" s="3" t="s">
        <v>91</v>
      </c>
      <c r="I217">
        <v>500</v>
      </c>
      <c r="J217">
        <f t="shared" ref="J217" si="215">I215*I217</f>
        <v>50000</v>
      </c>
      <c r="K217" t="s">
        <v>13</v>
      </c>
    </row>
    <row r="218" spans="1:11">
      <c r="A218" s="1" t="str">
        <f t="shared" si="191"/>
        <v>Hot Water Tank (3kWh)_Anglikon_B-LVL_MFH</v>
      </c>
      <c r="B218" t="s">
        <v>8</v>
      </c>
      <c r="C218" t="s">
        <v>94</v>
      </c>
      <c r="D218" t="s">
        <v>10</v>
      </c>
      <c r="E218" t="s">
        <v>11</v>
      </c>
      <c r="F218" s="3">
        <v>44</v>
      </c>
      <c r="I218">
        <v>44</v>
      </c>
      <c r="J218">
        <f t="shared" ref="J218" si="216">I218/I218</f>
        <v>1</v>
      </c>
      <c r="K218" t="s">
        <v>10</v>
      </c>
    </row>
    <row r="219" spans="1:11">
      <c r="A219" s="1" t="str">
        <f t="shared" si="191"/>
        <v>Hot Water Tank (3kWh)_Anglikon_B-LVL_MFH</v>
      </c>
      <c r="B219" t="s">
        <v>8</v>
      </c>
      <c r="C219" t="s">
        <v>94</v>
      </c>
      <c r="D219" t="s">
        <v>12</v>
      </c>
      <c r="E219" t="s">
        <v>11</v>
      </c>
      <c r="F219" s="3">
        <v>0</v>
      </c>
      <c r="I219">
        <v>0</v>
      </c>
      <c r="J219">
        <f t="shared" ref="J219" si="217">I219</f>
        <v>0</v>
      </c>
      <c r="K219" t="s">
        <v>12</v>
      </c>
    </row>
    <row r="220" spans="1:11" ht="180">
      <c r="A220" s="1" t="str">
        <f t="shared" si="191"/>
        <v>Hot Water Tank (3kWh)_Anglikon_B-LVL_MFH</v>
      </c>
      <c r="B220" t="s">
        <v>8</v>
      </c>
      <c r="C220" t="s">
        <v>94</v>
      </c>
      <c r="D220" t="s">
        <v>13</v>
      </c>
      <c r="E220" t="s">
        <v>11</v>
      </c>
      <c r="F220" s="3" t="s">
        <v>95</v>
      </c>
      <c r="I220">
        <v>1.26</v>
      </c>
      <c r="J220">
        <f t="shared" ref="J220" si="218">I218*I220</f>
        <v>55.44</v>
      </c>
      <c r="K220" t="s">
        <v>13</v>
      </c>
    </row>
    <row r="221" spans="1:11">
      <c r="A221" s="1" t="str">
        <f t="shared" si="191"/>
        <v>Hot Water Tank (3kWh)_Anglikon_B-LVL_SFH</v>
      </c>
      <c r="B221" t="s">
        <v>8</v>
      </c>
      <c r="C221" t="s">
        <v>96</v>
      </c>
      <c r="D221" t="s">
        <v>10</v>
      </c>
      <c r="E221" t="s">
        <v>11</v>
      </c>
      <c r="F221" s="3">
        <v>279</v>
      </c>
      <c r="I221">
        <v>279</v>
      </c>
      <c r="J221">
        <f t="shared" ref="J221" si="219">I221/I221</f>
        <v>1</v>
      </c>
      <c r="K221" t="s">
        <v>10</v>
      </c>
    </row>
    <row r="222" spans="1:11">
      <c r="A222" s="1" t="str">
        <f t="shared" si="191"/>
        <v>Hot Water Tank (3kWh)_Anglikon_B-LVL_SFH</v>
      </c>
      <c r="B222" t="s">
        <v>8</v>
      </c>
      <c r="C222" t="s">
        <v>96</v>
      </c>
      <c r="D222" t="s">
        <v>12</v>
      </c>
      <c r="E222" t="s">
        <v>11</v>
      </c>
      <c r="F222" s="3">
        <v>0</v>
      </c>
      <c r="I222">
        <v>0</v>
      </c>
      <c r="J222">
        <f t="shared" ref="J222" si="220">I222</f>
        <v>0</v>
      </c>
      <c r="K222" t="s">
        <v>12</v>
      </c>
    </row>
    <row r="223" spans="1:11" ht="180">
      <c r="A223" s="1" t="str">
        <f t="shared" si="191"/>
        <v>Hot Water Tank (3kWh)_Anglikon_B-LVL_SFH</v>
      </c>
      <c r="B223" t="s">
        <v>8</v>
      </c>
      <c r="C223" t="s">
        <v>96</v>
      </c>
      <c r="D223" t="s">
        <v>13</v>
      </c>
      <c r="E223" t="s">
        <v>11</v>
      </c>
      <c r="F223" s="3" t="s">
        <v>95</v>
      </c>
      <c r="I223">
        <v>1.26</v>
      </c>
      <c r="J223">
        <f t="shared" ref="J223" si="221">I221*I223</f>
        <v>351.54</v>
      </c>
      <c r="K223" t="s">
        <v>13</v>
      </c>
    </row>
    <row r="224" spans="1:11">
      <c r="A224" s="1" t="str">
        <f t="shared" si="191"/>
        <v>Hot Water Tank (3kWh)_Oberdorf_B-LVL_MFH</v>
      </c>
      <c r="B224" t="s">
        <v>8</v>
      </c>
      <c r="C224" t="s">
        <v>97</v>
      </c>
      <c r="D224" t="s">
        <v>10</v>
      </c>
      <c r="E224" t="s">
        <v>11</v>
      </c>
      <c r="F224" s="3">
        <v>71</v>
      </c>
      <c r="I224">
        <v>71</v>
      </c>
      <c r="J224">
        <f t="shared" ref="J224" si="222">I224/I224</f>
        <v>1</v>
      </c>
      <c r="K224" t="s">
        <v>10</v>
      </c>
    </row>
    <row r="225" spans="1:11">
      <c r="A225" s="1" t="str">
        <f t="shared" si="191"/>
        <v>Hot Water Tank (3kWh)_Oberdorf_B-LVL_MFH</v>
      </c>
      <c r="B225" t="s">
        <v>8</v>
      </c>
      <c r="C225" t="s">
        <v>97</v>
      </c>
      <c r="D225" t="s">
        <v>12</v>
      </c>
      <c r="E225" t="s">
        <v>11</v>
      </c>
      <c r="F225" s="3">
        <v>0</v>
      </c>
      <c r="I225">
        <v>0</v>
      </c>
      <c r="J225">
        <f t="shared" ref="J225" si="223">I225</f>
        <v>0</v>
      </c>
      <c r="K225" t="s">
        <v>12</v>
      </c>
    </row>
    <row r="226" spans="1:11" ht="180">
      <c r="A226" s="1" t="str">
        <f t="shared" si="191"/>
        <v>Hot Water Tank (3kWh)_Oberdorf_B-LVL_MFH</v>
      </c>
      <c r="B226" t="s">
        <v>8</v>
      </c>
      <c r="C226" t="s">
        <v>97</v>
      </c>
      <c r="D226" t="s">
        <v>13</v>
      </c>
      <c r="E226" t="s">
        <v>11</v>
      </c>
      <c r="F226" s="3" t="s">
        <v>95</v>
      </c>
      <c r="I226">
        <v>1.26</v>
      </c>
      <c r="J226">
        <f t="shared" ref="J226" si="224">I224*I226</f>
        <v>89.46</v>
      </c>
      <c r="K226" t="s">
        <v>13</v>
      </c>
    </row>
    <row r="227" spans="1:11">
      <c r="A227" s="1" t="str">
        <f t="shared" si="191"/>
        <v>Hot Water Tank (3kWh)_Oberdorf_B-LVL_SFH</v>
      </c>
      <c r="B227" t="s">
        <v>8</v>
      </c>
      <c r="C227" t="s">
        <v>98</v>
      </c>
      <c r="D227" t="s">
        <v>10</v>
      </c>
      <c r="E227" t="s">
        <v>11</v>
      </c>
      <c r="F227" s="3">
        <v>530</v>
      </c>
      <c r="I227">
        <v>530</v>
      </c>
      <c r="J227">
        <f t="shared" ref="J227" si="225">I227/I227</f>
        <v>1</v>
      </c>
      <c r="K227" t="s">
        <v>10</v>
      </c>
    </row>
    <row r="228" spans="1:11">
      <c r="A228" s="1" t="str">
        <f t="shared" si="191"/>
        <v>Hot Water Tank (3kWh)_Oberdorf_B-LVL_SFH</v>
      </c>
      <c r="B228" t="s">
        <v>8</v>
      </c>
      <c r="C228" t="s">
        <v>98</v>
      </c>
      <c r="D228" t="s">
        <v>12</v>
      </c>
      <c r="E228" t="s">
        <v>11</v>
      </c>
      <c r="F228" s="3">
        <v>0</v>
      </c>
      <c r="I228">
        <v>0</v>
      </c>
      <c r="J228">
        <f t="shared" ref="J228" si="226">I228</f>
        <v>0</v>
      </c>
      <c r="K228" t="s">
        <v>12</v>
      </c>
    </row>
    <row r="229" spans="1:11" ht="180">
      <c r="A229" s="1" t="str">
        <f t="shared" si="191"/>
        <v>Hot Water Tank (3kWh)_Oberdorf_B-LVL_SFH</v>
      </c>
      <c r="B229" t="s">
        <v>8</v>
      </c>
      <c r="C229" t="s">
        <v>98</v>
      </c>
      <c r="D229" t="s">
        <v>13</v>
      </c>
      <c r="E229" t="s">
        <v>11</v>
      </c>
      <c r="F229" s="3" t="s">
        <v>95</v>
      </c>
      <c r="I229">
        <v>1.26</v>
      </c>
      <c r="J229">
        <f t="shared" ref="J229" si="227">I227*I229</f>
        <v>667.8</v>
      </c>
      <c r="K229" t="s">
        <v>13</v>
      </c>
    </row>
    <row r="230" spans="1:11">
      <c r="A230" s="1" t="str">
        <f t="shared" si="191"/>
        <v>Hot Water Tank (3kWh)_Town_B-LVL_MFH</v>
      </c>
      <c r="B230" t="s">
        <v>8</v>
      </c>
      <c r="C230" t="s">
        <v>99</v>
      </c>
      <c r="D230" t="s">
        <v>10</v>
      </c>
      <c r="E230" t="s">
        <v>11</v>
      </c>
      <c r="F230" s="3">
        <v>537</v>
      </c>
      <c r="I230">
        <v>537</v>
      </c>
      <c r="J230">
        <f t="shared" ref="J230" si="228">I230/I230</f>
        <v>1</v>
      </c>
      <c r="K230" t="s">
        <v>10</v>
      </c>
    </row>
    <row r="231" spans="1:11">
      <c r="A231" s="1" t="str">
        <f t="shared" si="191"/>
        <v>Hot Water Tank (3kWh)_Town_B-LVL_MFH</v>
      </c>
      <c r="B231" t="s">
        <v>8</v>
      </c>
      <c r="C231" t="s">
        <v>99</v>
      </c>
      <c r="D231" t="s">
        <v>12</v>
      </c>
      <c r="E231" t="s">
        <v>11</v>
      </c>
      <c r="F231" s="3">
        <v>0</v>
      </c>
      <c r="I231">
        <v>0</v>
      </c>
      <c r="J231">
        <f t="shared" ref="J231" si="229">I231</f>
        <v>0</v>
      </c>
      <c r="K231" t="s">
        <v>12</v>
      </c>
    </row>
    <row r="232" spans="1:11" ht="180">
      <c r="A232" s="1" t="str">
        <f t="shared" si="191"/>
        <v>Hot Water Tank (3kWh)_Town_B-LVL_MFH</v>
      </c>
      <c r="B232" t="s">
        <v>8</v>
      </c>
      <c r="C232" t="s">
        <v>99</v>
      </c>
      <c r="D232" t="s">
        <v>13</v>
      </c>
      <c r="E232" t="s">
        <v>11</v>
      </c>
      <c r="F232" s="3" t="s">
        <v>95</v>
      </c>
      <c r="I232">
        <v>1.26</v>
      </c>
      <c r="J232">
        <f t="shared" ref="J232" si="230">I230*I232</f>
        <v>676.62</v>
      </c>
      <c r="K232" t="s">
        <v>13</v>
      </c>
    </row>
    <row r="233" spans="1:11">
      <c r="A233" s="1" t="str">
        <f t="shared" si="191"/>
        <v>Hot Water Tank (3kWh)_Town_B-LVL_SFH</v>
      </c>
      <c r="B233" t="s">
        <v>8</v>
      </c>
      <c r="C233" t="s">
        <v>100</v>
      </c>
      <c r="D233" t="s">
        <v>10</v>
      </c>
      <c r="E233" t="s">
        <v>11</v>
      </c>
      <c r="F233" s="3">
        <v>1714</v>
      </c>
      <c r="I233">
        <v>1714</v>
      </c>
      <c r="J233">
        <f t="shared" ref="J233" si="231">I233/I233</f>
        <v>1</v>
      </c>
      <c r="K233" t="s">
        <v>10</v>
      </c>
    </row>
    <row r="234" spans="1:11">
      <c r="A234" s="1" t="str">
        <f t="shared" si="191"/>
        <v>Hot Water Tank (3kWh)_Town_B-LVL_SFH</v>
      </c>
      <c r="B234" t="s">
        <v>8</v>
      </c>
      <c r="C234" t="s">
        <v>100</v>
      </c>
      <c r="D234" t="s">
        <v>12</v>
      </c>
      <c r="E234" t="s">
        <v>11</v>
      </c>
      <c r="F234" s="3">
        <v>0</v>
      </c>
      <c r="I234">
        <v>0</v>
      </c>
      <c r="J234">
        <f t="shared" ref="J234" si="232">I234</f>
        <v>0</v>
      </c>
      <c r="K234" t="s">
        <v>12</v>
      </c>
    </row>
    <row r="235" spans="1:11" ht="180">
      <c r="A235" s="1" t="str">
        <f t="shared" si="191"/>
        <v>Hot Water Tank (3kWh)_Town_B-LVL_SFH</v>
      </c>
      <c r="B235" t="s">
        <v>8</v>
      </c>
      <c r="C235" t="s">
        <v>100</v>
      </c>
      <c r="D235" t="s">
        <v>13</v>
      </c>
      <c r="E235" t="s">
        <v>11</v>
      </c>
      <c r="F235" s="3" t="s">
        <v>95</v>
      </c>
      <c r="I235">
        <v>1.26</v>
      </c>
      <c r="J235">
        <f t="shared" ref="J235" si="233">I233*I235</f>
        <v>2159.64</v>
      </c>
      <c r="K235" t="s">
        <v>13</v>
      </c>
    </row>
    <row r="236" spans="1:11">
      <c r="A236" s="1" t="str">
        <f t="shared" si="191"/>
        <v>Hot Water Tank (175MWh)_D-LVL_Anglikon</v>
      </c>
      <c r="B236" t="s">
        <v>8</v>
      </c>
      <c r="C236" t="s">
        <v>101</v>
      </c>
      <c r="D236" t="s">
        <v>10</v>
      </c>
      <c r="E236" t="s">
        <v>11</v>
      </c>
      <c r="F236" s="3">
        <v>10</v>
      </c>
      <c r="I236">
        <v>10</v>
      </c>
      <c r="J236">
        <f t="shared" ref="J236" si="234">I236/I236</f>
        <v>1</v>
      </c>
      <c r="K236" t="s">
        <v>10</v>
      </c>
    </row>
    <row r="237" spans="1:11">
      <c r="A237" s="1" t="str">
        <f t="shared" si="191"/>
        <v>Hot Water Tank (175MWh)_D-LVL_Anglikon</v>
      </c>
      <c r="B237" t="s">
        <v>8</v>
      </c>
      <c r="C237" t="s">
        <v>101</v>
      </c>
      <c r="D237" t="s">
        <v>12</v>
      </c>
      <c r="E237" t="s">
        <v>11</v>
      </c>
      <c r="F237" s="3">
        <v>0</v>
      </c>
      <c r="I237">
        <v>0</v>
      </c>
      <c r="J237">
        <f t="shared" ref="J237" si="235">I237</f>
        <v>0</v>
      </c>
      <c r="K237" t="s">
        <v>12</v>
      </c>
    </row>
    <row r="238" spans="1:11">
      <c r="A238" s="1" t="str">
        <f t="shared" si="191"/>
        <v>Hot Water Tank (175MWh)_D-LVL_Anglikon</v>
      </c>
      <c r="B238" t="s">
        <v>8</v>
      </c>
      <c r="C238" t="s">
        <v>101</v>
      </c>
      <c r="D238" t="s">
        <v>13</v>
      </c>
      <c r="E238" t="s">
        <v>11</v>
      </c>
      <c r="F238" s="3">
        <v>525</v>
      </c>
      <c r="I238">
        <v>525</v>
      </c>
      <c r="J238">
        <f t="shared" ref="J238" si="236">I236*I238</f>
        <v>5250</v>
      </c>
      <c r="K238" t="s">
        <v>13</v>
      </c>
    </row>
    <row r="239" spans="1:11">
      <c r="A239" s="1" t="str">
        <f t="shared" si="191"/>
        <v>Hot Water Tank (175MWh)_D-LVL_Oberdorf</v>
      </c>
      <c r="B239" t="s">
        <v>8</v>
      </c>
      <c r="C239" t="s">
        <v>102</v>
      </c>
      <c r="D239" t="s">
        <v>10</v>
      </c>
      <c r="E239" t="s">
        <v>11</v>
      </c>
      <c r="F239" s="3">
        <v>10</v>
      </c>
      <c r="I239">
        <v>10</v>
      </c>
      <c r="J239">
        <f t="shared" ref="J239" si="237">I239/I239</f>
        <v>1</v>
      </c>
      <c r="K239" t="s">
        <v>10</v>
      </c>
    </row>
    <row r="240" spans="1:11">
      <c r="A240" s="1" t="str">
        <f t="shared" si="191"/>
        <v>Hot Water Tank (175MWh)_D-LVL_Oberdorf</v>
      </c>
      <c r="B240" t="s">
        <v>8</v>
      </c>
      <c r="C240" t="s">
        <v>102</v>
      </c>
      <c r="D240" t="s">
        <v>12</v>
      </c>
      <c r="E240" t="s">
        <v>11</v>
      </c>
      <c r="F240" s="3">
        <v>0</v>
      </c>
      <c r="I240">
        <v>0</v>
      </c>
      <c r="J240">
        <f t="shared" ref="J240" si="238">I240</f>
        <v>0</v>
      </c>
      <c r="K240" t="s">
        <v>12</v>
      </c>
    </row>
    <row r="241" spans="1:11">
      <c r="A241" s="1" t="str">
        <f t="shared" si="191"/>
        <v>Hot Water Tank (175MWh)_D-LVL_Oberdorf</v>
      </c>
      <c r="B241" t="s">
        <v>8</v>
      </c>
      <c r="C241" t="s">
        <v>102</v>
      </c>
      <c r="D241" t="s">
        <v>13</v>
      </c>
      <c r="E241" t="s">
        <v>11</v>
      </c>
      <c r="F241" s="3">
        <v>525</v>
      </c>
      <c r="I241">
        <v>525</v>
      </c>
      <c r="J241">
        <f t="shared" ref="J241" si="239">I239*I241</f>
        <v>5250</v>
      </c>
      <c r="K241" t="s">
        <v>13</v>
      </c>
    </row>
    <row r="242" spans="1:11">
      <c r="A242" s="1" t="str">
        <f t="shared" si="191"/>
        <v>Hot Water Tank (175MWh)_D-LVL_Town</v>
      </c>
      <c r="B242" t="s">
        <v>8</v>
      </c>
      <c r="C242" t="s">
        <v>103</v>
      </c>
      <c r="D242" t="s">
        <v>10</v>
      </c>
      <c r="E242" t="s">
        <v>11</v>
      </c>
      <c r="F242" s="3">
        <v>10</v>
      </c>
      <c r="I242">
        <v>10</v>
      </c>
      <c r="J242">
        <f t="shared" ref="J242" si="240">I242/I242</f>
        <v>1</v>
      </c>
      <c r="K242" t="s">
        <v>10</v>
      </c>
    </row>
    <row r="243" spans="1:11">
      <c r="A243" s="1" t="str">
        <f t="shared" si="191"/>
        <v>Hot Water Tank (175MWh)_D-LVL_Town</v>
      </c>
      <c r="B243" t="s">
        <v>8</v>
      </c>
      <c r="C243" t="s">
        <v>103</v>
      </c>
      <c r="D243" t="s">
        <v>12</v>
      </c>
      <c r="E243" t="s">
        <v>11</v>
      </c>
      <c r="F243" s="3">
        <v>0</v>
      </c>
      <c r="I243">
        <v>0</v>
      </c>
      <c r="J243">
        <f t="shared" ref="J243" si="241">I243</f>
        <v>0</v>
      </c>
      <c r="K243" t="s">
        <v>12</v>
      </c>
    </row>
    <row r="244" spans="1:11">
      <c r="A244" s="1" t="str">
        <f t="shared" si="191"/>
        <v>Hot Water Tank (175MWh)_D-LVL_Town</v>
      </c>
      <c r="B244" t="s">
        <v>8</v>
      </c>
      <c r="C244" t="s">
        <v>103</v>
      </c>
      <c r="D244" t="s">
        <v>13</v>
      </c>
      <c r="E244" t="s">
        <v>11</v>
      </c>
      <c r="F244" s="3">
        <v>525</v>
      </c>
      <c r="I244">
        <v>525</v>
      </c>
      <c r="J244">
        <f t="shared" ref="J244" si="242">I242*I244</f>
        <v>5250</v>
      </c>
      <c r="K244" t="s">
        <v>13</v>
      </c>
    </row>
    <row r="245" spans="1:11">
      <c r="A245" s="1" t="str">
        <f t="shared" si="191"/>
        <v>Li-ion Battery 8MWh_D-LVL_Anglikon</v>
      </c>
      <c r="B245" t="s">
        <v>8</v>
      </c>
      <c r="C245" t="s">
        <v>104</v>
      </c>
      <c r="D245" t="s">
        <v>10</v>
      </c>
      <c r="E245" t="s">
        <v>11</v>
      </c>
      <c r="F245" s="3">
        <v>50</v>
      </c>
      <c r="I245">
        <v>50</v>
      </c>
      <c r="J245">
        <f t="shared" ref="J245" si="243">I245/I245</f>
        <v>1</v>
      </c>
      <c r="K245" t="s">
        <v>10</v>
      </c>
    </row>
    <row r="246" spans="1:11">
      <c r="A246" s="1" t="str">
        <f t="shared" si="191"/>
        <v>Li-ion Battery 8MWh_D-LVL_Anglikon</v>
      </c>
      <c r="B246" t="s">
        <v>8</v>
      </c>
      <c r="C246" t="s">
        <v>104</v>
      </c>
      <c r="D246" t="s">
        <v>12</v>
      </c>
      <c r="E246" t="s">
        <v>11</v>
      </c>
      <c r="F246" s="3">
        <v>0</v>
      </c>
      <c r="I246">
        <v>0</v>
      </c>
      <c r="J246">
        <f t="shared" ref="J246" si="244">I246</f>
        <v>0</v>
      </c>
      <c r="K246" t="s">
        <v>12</v>
      </c>
    </row>
    <row r="247" spans="1:11" ht="240">
      <c r="A247" s="1" t="str">
        <f t="shared" si="191"/>
        <v>Li-ion Battery 8MWh_D-LVL_Anglikon</v>
      </c>
      <c r="B247" t="s">
        <v>8</v>
      </c>
      <c r="C247" t="s">
        <v>104</v>
      </c>
      <c r="D247" t="s">
        <v>13</v>
      </c>
      <c r="E247" t="s">
        <v>11</v>
      </c>
      <c r="F247" s="3" t="s">
        <v>105</v>
      </c>
      <c r="I247">
        <v>3360</v>
      </c>
      <c r="J247">
        <f t="shared" ref="J247" si="245">I245*I247</f>
        <v>168000</v>
      </c>
      <c r="K247" t="s">
        <v>13</v>
      </c>
    </row>
    <row r="248" spans="1:11">
      <c r="A248" s="1" t="str">
        <f t="shared" si="191"/>
        <v>Li-ion Battery 8MWh_D-LVL_Oberdorf</v>
      </c>
      <c r="B248" t="s">
        <v>8</v>
      </c>
      <c r="C248" t="s">
        <v>106</v>
      </c>
      <c r="D248" t="s">
        <v>10</v>
      </c>
      <c r="E248" t="s">
        <v>11</v>
      </c>
      <c r="F248" s="3">
        <v>50</v>
      </c>
      <c r="I248">
        <v>50</v>
      </c>
      <c r="J248">
        <f t="shared" ref="J248" si="246">I248/I248</f>
        <v>1</v>
      </c>
      <c r="K248" t="s">
        <v>10</v>
      </c>
    </row>
    <row r="249" spans="1:11">
      <c r="A249" s="1" t="str">
        <f t="shared" si="191"/>
        <v>Li-ion Battery 8MWh_D-LVL_Oberdorf</v>
      </c>
      <c r="B249" t="s">
        <v>8</v>
      </c>
      <c r="C249" t="s">
        <v>106</v>
      </c>
      <c r="D249" t="s">
        <v>12</v>
      </c>
      <c r="E249" t="s">
        <v>11</v>
      </c>
      <c r="F249" s="3">
        <v>0</v>
      </c>
      <c r="I249">
        <v>0</v>
      </c>
      <c r="J249">
        <f t="shared" ref="J249" si="247">I249</f>
        <v>0</v>
      </c>
      <c r="K249" t="s">
        <v>12</v>
      </c>
    </row>
    <row r="250" spans="1:11" ht="240">
      <c r="A250" s="1" t="str">
        <f t="shared" si="191"/>
        <v>Li-ion Battery 8MWh_D-LVL_Oberdorf</v>
      </c>
      <c r="B250" t="s">
        <v>8</v>
      </c>
      <c r="C250" t="s">
        <v>106</v>
      </c>
      <c r="D250" t="s">
        <v>13</v>
      </c>
      <c r="E250" t="s">
        <v>11</v>
      </c>
      <c r="F250" s="3" t="s">
        <v>105</v>
      </c>
      <c r="I250">
        <v>3360</v>
      </c>
      <c r="J250">
        <f t="shared" ref="J250" si="248">I248*I250</f>
        <v>168000</v>
      </c>
      <c r="K250" t="s">
        <v>13</v>
      </c>
    </row>
    <row r="251" spans="1:11">
      <c r="A251" s="1" t="str">
        <f t="shared" si="191"/>
        <v>Li-ion Battery 8MWh_D-LVL_Town</v>
      </c>
      <c r="B251" t="s">
        <v>8</v>
      </c>
      <c r="C251" t="s">
        <v>107</v>
      </c>
      <c r="D251" t="s">
        <v>10</v>
      </c>
      <c r="E251" t="s">
        <v>11</v>
      </c>
      <c r="F251" s="3">
        <v>50</v>
      </c>
      <c r="I251">
        <v>50</v>
      </c>
      <c r="J251">
        <f t="shared" ref="J251" si="249">I251/I251</f>
        <v>1</v>
      </c>
      <c r="K251" t="s">
        <v>10</v>
      </c>
    </row>
    <row r="252" spans="1:11">
      <c r="A252" s="1" t="str">
        <f t="shared" si="191"/>
        <v>Li-ion Battery 8MWh_D-LVL_Town</v>
      </c>
      <c r="B252" t="s">
        <v>8</v>
      </c>
      <c r="C252" t="s">
        <v>107</v>
      </c>
      <c r="D252" t="s">
        <v>12</v>
      </c>
      <c r="E252" t="s">
        <v>11</v>
      </c>
      <c r="F252" s="3">
        <v>0</v>
      </c>
      <c r="I252">
        <v>0</v>
      </c>
      <c r="J252">
        <f t="shared" ref="J252" si="250">I252</f>
        <v>0</v>
      </c>
      <c r="K252" t="s">
        <v>12</v>
      </c>
    </row>
    <row r="253" spans="1:11" ht="240">
      <c r="A253" s="1" t="str">
        <f t="shared" si="191"/>
        <v>Li-ion Battery 8MWh_D-LVL_Town</v>
      </c>
      <c r="B253" t="s">
        <v>8</v>
      </c>
      <c r="C253" t="s">
        <v>107</v>
      </c>
      <c r="D253" t="s">
        <v>13</v>
      </c>
      <c r="E253" t="s">
        <v>11</v>
      </c>
      <c r="F253" s="3" t="s">
        <v>105</v>
      </c>
      <c r="I253">
        <v>3360</v>
      </c>
      <c r="J253">
        <f t="shared" ref="J253" si="251">I251*I253</f>
        <v>168000</v>
      </c>
      <c r="K253" t="s">
        <v>13</v>
      </c>
    </row>
    <row r="254" spans="1:11">
      <c r="A254" s="1" t="str">
        <f t="shared" si="191"/>
        <v>Na-S Battery 300MWh_D-LVL_Anglikon</v>
      </c>
      <c r="B254" t="s">
        <v>8</v>
      </c>
      <c r="C254" t="s">
        <v>108</v>
      </c>
      <c r="D254" t="s">
        <v>10</v>
      </c>
      <c r="E254" t="s">
        <v>11</v>
      </c>
      <c r="F254" s="3">
        <v>10</v>
      </c>
      <c r="I254">
        <v>10</v>
      </c>
      <c r="J254">
        <f t="shared" ref="J254" si="252">I254/I254</f>
        <v>1</v>
      </c>
      <c r="K254" t="s">
        <v>10</v>
      </c>
    </row>
    <row r="255" spans="1:11">
      <c r="A255" s="1" t="str">
        <f t="shared" si="191"/>
        <v>Na-S Battery 300MWh_D-LVL_Anglikon</v>
      </c>
      <c r="B255" t="s">
        <v>8</v>
      </c>
      <c r="C255" t="s">
        <v>108</v>
      </c>
      <c r="D255" t="s">
        <v>12</v>
      </c>
      <c r="E255" t="s">
        <v>11</v>
      </c>
      <c r="F255" s="3">
        <v>0</v>
      </c>
      <c r="I255">
        <v>0</v>
      </c>
      <c r="J255">
        <f t="shared" ref="J255" si="253">I255</f>
        <v>0</v>
      </c>
      <c r="K255" t="s">
        <v>12</v>
      </c>
    </row>
    <row r="256" spans="1:11">
      <c r="A256" s="1" t="str">
        <f t="shared" si="191"/>
        <v>Na-S Battery 300MWh_D-LVL_Anglikon</v>
      </c>
      <c r="B256" t="s">
        <v>8</v>
      </c>
      <c r="C256" t="s">
        <v>108</v>
      </c>
      <c r="D256" t="s">
        <v>13</v>
      </c>
      <c r="E256" t="s">
        <v>11</v>
      </c>
      <c r="F256" s="3">
        <v>117900</v>
      </c>
      <c r="I256">
        <v>117900</v>
      </c>
      <c r="J256">
        <f t="shared" ref="J256" si="254">I254*I256</f>
        <v>1179000</v>
      </c>
      <c r="K256" t="s">
        <v>13</v>
      </c>
    </row>
    <row r="257" spans="1:11">
      <c r="A257" s="1" t="str">
        <f t="shared" si="191"/>
        <v>Na-S Battery 300MWh_D-LVL_Oberdorf</v>
      </c>
      <c r="B257" t="s">
        <v>8</v>
      </c>
      <c r="C257" t="s">
        <v>109</v>
      </c>
      <c r="D257" t="s">
        <v>10</v>
      </c>
      <c r="E257" t="s">
        <v>11</v>
      </c>
      <c r="F257" s="3">
        <v>10</v>
      </c>
      <c r="I257">
        <v>10</v>
      </c>
      <c r="J257">
        <f t="shared" ref="J257" si="255">I257/I257</f>
        <v>1</v>
      </c>
      <c r="K257" t="s">
        <v>10</v>
      </c>
    </row>
    <row r="258" spans="1:11">
      <c r="A258" s="1" t="str">
        <f t="shared" ref="A258:A321" si="256">IFERROR(LEFT(C258, FIND(_xlfn.UNICHAR(448), C258) - 1), C258)</f>
        <v>Na-S Battery 300MWh_D-LVL_Oberdorf</v>
      </c>
      <c r="B258" t="s">
        <v>8</v>
      </c>
      <c r="C258" t="s">
        <v>109</v>
      </c>
      <c r="D258" t="s">
        <v>12</v>
      </c>
      <c r="E258" t="s">
        <v>11</v>
      </c>
      <c r="F258" s="3">
        <v>0</v>
      </c>
      <c r="I258">
        <v>0</v>
      </c>
      <c r="J258">
        <f t="shared" ref="J258" si="257">I258</f>
        <v>0</v>
      </c>
      <c r="K258" t="s">
        <v>12</v>
      </c>
    </row>
    <row r="259" spans="1:11">
      <c r="A259" s="1" t="str">
        <f t="shared" si="256"/>
        <v>Na-S Battery 300MWh_D-LVL_Oberdorf</v>
      </c>
      <c r="B259" t="s">
        <v>8</v>
      </c>
      <c r="C259" t="s">
        <v>109</v>
      </c>
      <c r="D259" t="s">
        <v>13</v>
      </c>
      <c r="E259" t="s">
        <v>11</v>
      </c>
      <c r="F259" s="3">
        <v>117900</v>
      </c>
      <c r="I259">
        <v>117900</v>
      </c>
      <c r="J259">
        <f t="shared" ref="J259" si="258">I257*I259</f>
        <v>1179000</v>
      </c>
      <c r="K259" t="s">
        <v>13</v>
      </c>
    </row>
    <row r="260" spans="1:11">
      <c r="A260" s="1" t="str">
        <f t="shared" si="256"/>
        <v>Na-S Battery 300MWh_D-LVL_Town</v>
      </c>
      <c r="B260" t="s">
        <v>8</v>
      </c>
      <c r="C260" t="s">
        <v>110</v>
      </c>
      <c r="D260" t="s">
        <v>10</v>
      </c>
      <c r="E260" t="s">
        <v>11</v>
      </c>
      <c r="F260" s="3">
        <v>10</v>
      </c>
      <c r="I260">
        <v>10</v>
      </c>
      <c r="J260">
        <f t="shared" ref="J260" si="259">I260/I260</f>
        <v>1</v>
      </c>
      <c r="K260" t="s">
        <v>10</v>
      </c>
    </row>
    <row r="261" spans="1:11">
      <c r="A261" s="1" t="str">
        <f t="shared" si="256"/>
        <v>Na-S Battery 300MWh_D-LVL_Town</v>
      </c>
      <c r="B261" t="s">
        <v>8</v>
      </c>
      <c r="C261" t="s">
        <v>110</v>
      </c>
      <c r="D261" t="s">
        <v>12</v>
      </c>
      <c r="E261" t="s">
        <v>11</v>
      </c>
      <c r="F261" s="3">
        <v>0</v>
      </c>
      <c r="I261">
        <v>0</v>
      </c>
      <c r="J261">
        <f t="shared" ref="J261" si="260">I261</f>
        <v>0</v>
      </c>
      <c r="K261" t="s">
        <v>12</v>
      </c>
    </row>
    <row r="262" spans="1:11">
      <c r="A262" s="1" t="str">
        <f t="shared" si="256"/>
        <v>Na-S Battery 300MWh_D-LVL_Town</v>
      </c>
      <c r="B262" t="s">
        <v>8</v>
      </c>
      <c r="C262" t="s">
        <v>110</v>
      </c>
      <c r="D262" t="s">
        <v>13</v>
      </c>
      <c r="E262" t="s">
        <v>11</v>
      </c>
      <c r="F262" s="3">
        <v>117900</v>
      </c>
      <c r="I262">
        <v>117900</v>
      </c>
      <c r="J262">
        <f t="shared" ref="J262" si="261">I260*I262</f>
        <v>1179000</v>
      </c>
      <c r="K262" t="s">
        <v>13</v>
      </c>
    </row>
    <row r="263" spans="1:11">
      <c r="A263" s="1" t="str">
        <f t="shared" si="256"/>
        <v>NaMiCl2 Battery 4.15MWh_D-LVL_Anglikon</v>
      </c>
      <c r="B263" t="s">
        <v>8</v>
      </c>
      <c r="C263" t="s">
        <v>111</v>
      </c>
      <c r="D263" t="s">
        <v>10</v>
      </c>
      <c r="E263" t="s">
        <v>11</v>
      </c>
      <c r="F263" s="3">
        <v>10</v>
      </c>
      <c r="I263">
        <v>10</v>
      </c>
      <c r="J263">
        <f t="shared" ref="J263" si="262">I263/I263</f>
        <v>1</v>
      </c>
      <c r="K263" t="s">
        <v>10</v>
      </c>
    </row>
    <row r="264" spans="1:11">
      <c r="A264" s="1" t="str">
        <f t="shared" si="256"/>
        <v>NaMiCl2 Battery 4.15MWh_D-LVL_Anglikon</v>
      </c>
      <c r="B264" t="s">
        <v>8</v>
      </c>
      <c r="C264" t="s">
        <v>111</v>
      </c>
      <c r="D264" t="s">
        <v>12</v>
      </c>
      <c r="E264" t="s">
        <v>11</v>
      </c>
      <c r="F264" s="3">
        <v>0</v>
      </c>
      <c r="I264">
        <v>0</v>
      </c>
      <c r="J264">
        <f t="shared" ref="J264" si="263">I264</f>
        <v>0</v>
      </c>
      <c r="K264" t="s">
        <v>12</v>
      </c>
    </row>
    <row r="265" spans="1:11">
      <c r="A265" s="1" t="str">
        <f t="shared" si="256"/>
        <v>NaMiCl2 Battery 4.15MWh_D-LVL_Anglikon</v>
      </c>
      <c r="B265" t="s">
        <v>8</v>
      </c>
      <c r="C265" t="s">
        <v>111</v>
      </c>
      <c r="D265" t="s">
        <v>13</v>
      </c>
      <c r="E265" t="s">
        <v>11</v>
      </c>
      <c r="F265" s="3">
        <v>1850.9</v>
      </c>
      <c r="I265">
        <v>1850.9</v>
      </c>
      <c r="J265">
        <f t="shared" ref="J265" si="264">I263*I265</f>
        <v>18509</v>
      </c>
      <c r="K265" t="s">
        <v>13</v>
      </c>
    </row>
    <row r="266" spans="1:11">
      <c r="A266" s="1" t="str">
        <f t="shared" si="256"/>
        <v>NaMiCl2 Battery 4.15MWh_D-LVL_Oberdorf</v>
      </c>
      <c r="B266" t="s">
        <v>8</v>
      </c>
      <c r="C266" t="s">
        <v>112</v>
      </c>
      <c r="D266" t="s">
        <v>10</v>
      </c>
      <c r="E266" t="s">
        <v>11</v>
      </c>
      <c r="F266" s="3">
        <v>10</v>
      </c>
      <c r="I266">
        <v>10</v>
      </c>
      <c r="J266">
        <f t="shared" ref="J266" si="265">I266/I266</f>
        <v>1</v>
      </c>
      <c r="K266" t="s">
        <v>10</v>
      </c>
    </row>
    <row r="267" spans="1:11">
      <c r="A267" s="1" t="str">
        <f t="shared" si="256"/>
        <v>NaMiCl2 Battery 4.15MWh_D-LVL_Oberdorf</v>
      </c>
      <c r="B267" t="s">
        <v>8</v>
      </c>
      <c r="C267" t="s">
        <v>112</v>
      </c>
      <c r="D267" t="s">
        <v>12</v>
      </c>
      <c r="E267" t="s">
        <v>11</v>
      </c>
      <c r="F267" s="3">
        <v>0</v>
      </c>
      <c r="I267">
        <v>0</v>
      </c>
      <c r="J267">
        <f t="shared" ref="J267" si="266">I267</f>
        <v>0</v>
      </c>
      <c r="K267" t="s">
        <v>12</v>
      </c>
    </row>
    <row r="268" spans="1:11">
      <c r="A268" s="1" t="str">
        <f t="shared" si="256"/>
        <v>NaMiCl2 Battery 4.15MWh_D-LVL_Oberdorf</v>
      </c>
      <c r="B268" t="s">
        <v>8</v>
      </c>
      <c r="C268" t="s">
        <v>112</v>
      </c>
      <c r="D268" t="s">
        <v>13</v>
      </c>
      <c r="E268" t="s">
        <v>11</v>
      </c>
      <c r="F268" s="3">
        <v>1850.9</v>
      </c>
      <c r="I268">
        <v>1850.9</v>
      </c>
      <c r="J268">
        <f t="shared" ref="J268" si="267">I266*I268</f>
        <v>18509</v>
      </c>
      <c r="K268" t="s">
        <v>13</v>
      </c>
    </row>
    <row r="269" spans="1:11">
      <c r="A269" s="1" t="str">
        <f t="shared" si="256"/>
        <v>NaMiCl2 Battery 4.15MWh_D-LVL_Town</v>
      </c>
      <c r="B269" t="s">
        <v>8</v>
      </c>
      <c r="C269" t="s">
        <v>113</v>
      </c>
      <c r="D269" t="s">
        <v>10</v>
      </c>
      <c r="E269" t="s">
        <v>11</v>
      </c>
      <c r="F269" s="3">
        <v>10</v>
      </c>
      <c r="I269">
        <v>10</v>
      </c>
      <c r="J269">
        <f t="shared" ref="J269" si="268">I269/I269</f>
        <v>1</v>
      </c>
      <c r="K269" t="s">
        <v>10</v>
      </c>
    </row>
    <row r="270" spans="1:11">
      <c r="A270" s="1" t="str">
        <f t="shared" si="256"/>
        <v>NaMiCl2 Battery 4.15MWh_D-LVL_Town</v>
      </c>
      <c r="B270" t="s">
        <v>8</v>
      </c>
      <c r="C270" t="s">
        <v>113</v>
      </c>
      <c r="D270" t="s">
        <v>12</v>
      </c>
      <c r="E270" t="s">
        <v>11</v>
      </c>
      <c r="F270" s="3">
        <v>0</v>
      </c>
      <c r="I270">
        <v>0</v>
      </c>
      <c r="J270">
        <f t="shared" ref="J270" si="269">I270</f>
        <v>0</v>
      </c>
      <c r="K270" t="s">
        <v>12</v>
      </c>
    </row>
    <row r="271" spans="1:11">
      <c r="A271" s="1" t="str">
        <f t="shared" si="256"/>
        <v>NaMiCl2 Battery 4.15MWh_D-LVL_Town</v>
      </c>
      <c r="B271" t="s">
        <v>8</v>
      </c>
      <c r="C271" t="s">
        <v>113</v>
      </c>
      <c r="D271" t="s">
        <v>13</v>
      </c>
      <c r="E271" t="s">
        <v>11</v>
      </c>
      <c r="F271" s="3">
        <v>1850.9</v>
      </c>
      <c r="I271">
        <v>1850.9</v>
      </c>
      <c r="J271">
        <f t="shared" ref="J271" si="270">I269*I271</f>
        <v>18509</v>
      </c>
      <c r="K271" t="s">
        <v>13</v>
      </c>
    </row>
    <row r="272" spans="1:11">
      <c r="A272" s="1" t="str">
        <f t="shared" si="256"/>
        <v>Oil Heater (MFH 80kW)_Anglikon_B-LVL_MFH</v>
      </c>
      <c r="B272" t="s">
        <v>8</v>
      </c>
      <c r="C272" t="s">
        <v>114</v>
      </c>
      <c r="D272" t="s">
        <v>10</v>
      </c>
      <c r="E272" t="s">
        <v>11</v>
      </c>
      <c r="F272" s="3">
        <v>44</v>
      </c>
      <c r="I272">
        <v>44</v>
      </c>
      <c r="J272">
        <f t="shared" ref="J272" si="271">I272/I272</f>
        <v>1</v>
      </c>
      <c r="K272" t="s">
        <v>10</v>
      </c>
    </row>
    <row r="273" spans="1:11">
      <c r="A273" s="1" t="str">
        <f t="shared" si="256"/>
        <v>Oil Heater (MFH 80kW)_Anglikon_B-LVL_MFH</v>
      </c>
      <c r="B273" t="s">
        <v>8</v>
      </c>
      <c r="C273" t="s">
        <v>114</v>
      </c>
      <c r="D273" t="s">
        <v>12</v>
      </c>
      <c r="E273" t="s">
        <v>11</v>
      </c>
      <c r="F273" s="3">
        <v>0</v>
      </c>
      <c r="I273">
        <v>0</v>
      </c>
      <c r="J273">
        <f t="shared" ref="J273" si="272">I273</f>
        <v>0</v>
      </c>
      <c r="K273" t="s">
        <v>12</v>
      </c>
    </row>
    <row r="274" spans="1:11" ht="225">
      <c r="A274" s="1" t="str">
        <f t="shared" si="256"/>
        <v>Oil Heater (MFH 80kW)_Anglikon_B-LVL_MFH</v>
      </c>
      <c r="B274" t="s">
        <v>8</v>
      </c>
      <c r="C274" t="s">
        <v>114</v>
      </c>
      <c r="D274" t="s">
        <v>13</v>
      </c>
      <c r="E274" t="s">
        <v>11</v>
      </c>
      <c r="F274" s="3" t="s">
        <v>115</v>
      </c>
      <c r="I274">
        <v>120</v>
      </c>
      <c r="J274">
        <f t="shared" ref="J274" si="273">I272*I274</f>
        <v>5280</v>
      </c>
      <c r="K274" t="s">
        <v>13</v>
      </c>
    </row>
    <row r="275" spans="1:11">
      <c r="A275" s="1" t="str">
        <f t="shared" si="256"/>
        <v>Oil Heater (MFH 80kW)_Oberdorf_B-LVL_MFH</v>
      </c>
      <c r="B275" t="s">
        <v>8</v>
      </c>
      <c r="C275" t="s">
        <v>116</v>
      </c>
      <c r="D275" t="s">
        <v>10</v>
      </c>
      <c r="E275" t="s">
        <v>11</v>
      </c>
      <c r="F275" s="3">
        <v>71</v>
      </c>
      <c r="I275">
        <v>71</v>
      </c>
      <c r="J275">
        <f t="shared" ref="J275" si="274">I275/I275</f>
        <v>1</v>
      </c>
      <c r="K275" t="s">
        <v>10</v>
      </c>
    </row>
    <row r="276" spans="1:11">
      <c r="A276" s="1" t="str">
        <f t="shared" si="256"/>
        <v>Oil Heater (MFH 80kW)_Oberdorf_B-LVL_MFH</v>
      </c>
      <c r="B276" t="s">
        <v>8</v>
      </c>
      <c r="C276" t="s">
        <v>116</v>
      </c>
      <c r="D276" t="s">
        <v>12</v>
      </c>
      <c r="E276" t="s">
        <v>11</v>
      </c>
      <c r="F276" s="3">
        <v>0</v>
      </c>
      <c r="I276">
        <v>0</v>
      </c>
      <c r="J276">
        <f t="shared" ref="J276" si="275">I276</f>
        <v>0</v>
      </c>
      <c r="K276" t="s">
        <v>12</v>
      </c>
    </row>
    <row r="277" spans="1:11" ht="225">
      <c r="A277" s="1" t="str">
        <f t="shared" si="256"/>
        <v>Oil Heater (MFH 80kW)_Oberdorf_B-LVL_MFH</v>
      </c>
      <c r="B277" t="s">
        <v>8</v>
      </c>
      <c r="C277" t="s">
        <v>116</v>
      </c>
      <c r="D277" t="s">
        <v>13</v>
      </c>
      <c r="E277" t="s">
        <v>11</v>
      </c>
      <c r="F277" s="3" t="s">
        <v>115</v>
      </c>
      <c r="I277">
        <v>120</v>
      </c>
      <c r="J277">
        <f t="shared" ref="J277" si="276">I275*I277</f>
        <v>8520</v>
      </c>
      <c r="K277" t="s">
        <v>13</v>
      </c>
    </row>
    <row r="278" spans="1:11">
      <c r="A278" s="1" t="str">
        <f t="shared" si="256"/>
        <v>Oil Heater (MFH 80kW)_Town_B-LVL_MFH</v>
      </c>
      <c r="B278" t="s">
        <v>8</v>
      </c>
      <c r="C278" t="s">
        <v>117</v>
      </c>
      <c r="D278" t="s">
        <v>10</v>
      </c>
      <c r="E278" t="s">
        <v>11</v>
      </c>
      <c r="F278" s="3">
        <v>537</v>
      </c>
      <c r="I278">
        <v>537</v>
      </c>
      <c r="J278">
        <f t="shared" ref="J278" si="277">I278/I278</f>
        <v>1</v>
      </c>
      <c r="K278" t="s">
        <v>10</v>
      </c>
    </row>
    <row r="279" spans="1:11">
      <c r="A279" s="1" t="str">
        <f t="shared" si="256"/>
        <v>Oil Heater (MFH 80kW)_Town_B-LVL_MFH</v>
      </c>
      <c r="B279" t="s">
        <v>8</v>
      </c>
      <c r="C279" t="s">
        <v>117</v>
      </c>
      <c r="D279" t="s">
        <v>12</v>
      </c>
      <c r="E279" t="s">
        <v>11</v>
      </c>
      <c r="F279" s="3">
        <v>0</v>
      </c>
      <c r="I279">
        <v>0</v>
      </c>
      <c r="J279">
        <f t="shared" ref="J279" si="278">I279</f>
        <v>0</v>
      </c>
      <c r="K279" t="s">
        <v>12</v>
      </c>
    </row>
    <row r="280" spans="1:11" ht="225">
      <c r="A280" s="1" t="str">
        <f t="shared" si="256"/>
        <v>Oil Heater (MFH 80kW)_Town_B-LVL_MFH</v>
      </c>
      <c r="B280" t="s">
        <v>8</v>
      </c>
      <c r="C280" t="s">
        <v>117</v>
      </c>
      <c r="D280" t="s">
        <v>13</v>
      </c>
      <c r="E280" t="s">
        <v>11</v>
      </c>
      <c r="F280" s="3" t="s">
        <v>115</v>
      </c>
      <c r="I280">
        <v>120</v>
      </c>
      <c r="J280">
        <f t="shared" ref="J280" si="279">I278*I280</f>
        <v>64440</v>
      </c>
      <c r="K280" t="s">
        <v>13</v>
      </c>
    </row>
    <row r="281" spans="1:11">
      <c r="A281" s="1" t="str">
        <f t="shared" si="256"/>
        <v>Oil Heater (SFH 17kW)_Anglikon_B-LVL_SFH</v>
      </c>
      <c r="B281" t="s">
        <v>8</v>
      </c>
      <c r="C281" t="s">
        <v>118</v>
      </c>
      <c r="D281" t="s">
        <v>10</v>
      </c>
      <c r="E281" t="s">
        <v>11</v>
      </c>
      <c r="F281" s="3">
        <v>279</v>
      </c>
      <c r="I281">
        <v>279</v>
      </c>
      <c r="J281">
        <f t="shared" ref="J281" si="280">I281/I281</f>
        <v>1</v>
      </c>
      <c r="K281" t="s">
        <v>10</v>
      </c>
    </row>
    <row r="282" spans="1:11">
      <c r="A282" s="1" t="str">
        <f t="shared" si="256"/>
        <v>Oil Heater (SFH 17kW)_Anglikon_B-LVL_SFH</v>
      </c>
      <c r="B282" t="s">
        <v>8</v>
      </c>
      <c r="C282" t="s">
        <v>118</v>
      </c>
      <c r="D282" t="s">
        <v>12</v>
      </c>
      <c r="E282" t="s">
        <v>11</v>
      </c>
      <c r="F282" s="3">
        <v>0</v>
      </c>
      <c r="I282">
        <v>0</v>
      </c>
      <c r="J282">
        <f t="shared" ref="J282" si="281">I282</f>
        <v>0</v>
      </c>
      <c r="K282" t="s">
        <v>12</v>
      </c>
    </row>
    <row r="283" spans="1:11" ht="300">
      <c r="A283" s="1" t="str">
        <f t="shared" si="256"/>
        <v>Oil Heater (SFH 17kW)_Anglikon_B-LVL_SFH</v>
      </c>
      <c r="B283" t="s">
        <v>8</v>
      </c>
      <c r="C283" t="s">
        <v>118</v>
      </c>
      <c r="D283" t="s">
        <v>13</v>
      </c>
      <c r="E283" t="s">
        <v>11</v>
      </c>
      <c r="F283" s="3" t="s">
        <v>119</v>
      </c>
      <c r="I283">
        <v>49.3</v>
      </c>
      <c r="J283">
        <f t="shared" ref="J283" si="282">I281*I283</f>
        <v>13754.699999999999</v>
      </c>
      <c r="K283" t="s">
        <v>13</v>
      </c>
    </row>
    <row r="284" spans="1:11">
      <c r="A284" s="1" t="str">
        <f t="shared" si="256"/>
        <v>Oil Heater (SFH 17kW)_Oberdorf_B-LVL_SFH</v>
      </c>
      <c r="B284" t="s">
        <v>8</v>
      </c>
      <c r="C284" t="s">
        <v>120</v>
      </c>
      <c r="D284" t="s">
        <v>10</v>
      </c>
      <c r="E284" t="s">
        <v>11</v>
      </c>
      <c r="F284" s="3">
        <v>530</v>
      </c>
      <c r="I284">
        <v>530</v>
      </c>
      <c r="J284">
        <f t="shared" ref="J284" si="283">I284/I284</f>
        <v>1</v>
      </c>
      <c r="K284" t="s">
        <v>10</v>
      </c>
    </row>
    <row r="285" spans="1:11">
      <c r="A285" s="1" t="str">
        <f t="shared" si="256"/>
        <v>Oil Heater (SFH 17kW)_Oberdorf_B-LVL_SFH</v>
      </c>
      <c r="B285" t="s">
        <v>8</v>
      </c>
      <c r="C285" t="s">
        <v>120</v>
      </c>
      <c r="D285" t="s">
        <v>12</v>
      </c>
      <c r="E285" t="s">
        <v>11</v>
      </c>
      <c r="F285" s="3">
        <v>0</v>
      </c>
      <c r="I285">
        <v>0</v>
      </c>
      <c r="J285">
        <f t="shared" ref="J285" si="284">I285</f>
        <v>0</v>
      </c>
      <c r="K285" t="s">
        <v>12</v>
      </c>
    </row>
    <row r="286" spans="1:11" ht="300">
      <c r="A286" s="1" t="str">
        <f t="shared" si="256"/>
        <v>Oil Heater (SFH 17kW)_Oberdorf_B-LVL_SFH</v>
      </c>
      <c r="B286" t="s">
        <v>8</v>
      </c>
      <c r="C286" t="s">
        <v>120</v>
      </c>
      <c r="D286" t="s">
        <v>13</v>
      </c>
      <c r="E286" t="s">
        <v>11</v>
      </c>
      <c r="F286" s="3" t="s">
        <v>119</v>
      </c>
      <c r="I286">
        <v>49.3</v>
      </c>
      <c r="J286">
        <f t="shared" ref="J286" si="285">I284*I286</f>
        <v>26129</v>
      </c>
      <c r="K286" t="s">
        <v>13</v>
      </c>
    </row>
    <row r="287" spans="1:11">
      <c r="A287" s="1" t="str">
        <f t="shared" si="256"/>
        <v>Oil Heater (SFH 17kW)_Town_B-LVL_SFH</v>
      </c>
      <c r="B287" t="s">
        <v>8</v>
      </c>
      <c r="C287" t="s">
        <v>121</v>
      </c>
      <c r="D287" t="s">
        <v>10</v>
      </c>
      <c r="E287" t="s">
        <v>11</v>
      </c>
      <c r="F287" s="3">
        <v>1714</v>
      </c>
      <c r="I287">
        <v>1714</v>
      </c>
      <c r="J287">
        <f t="shared" ref="J287" si="286">I287/I287</f>
        <v>1</v>
      </c>
      <c r="K287" t="s">
        <v>10</v>
      </c>
    </row>
    <row r="288" spans="1:11">
      <c r="A288" s="1" t="str">
        <f t="shared" si="256"/>
        <v>Oil Heater (SFH 17kW)_Town_B-LVL_SFH</v>
      </c>
      <c r="B288" t="s">
        <v>8</v>
      </c>
      <c r="C288" t="s">
        <v>121</v>
      </c>
      <c r="D288" t="s">
        <v>12</v>
      </c>
      <c r="E288" t="s">
        <v>11</v>
      </c>
      <c r="F288" s="3">
        <v>0</v>
      </c>
      <c r="I288">
        <v>0</v>
      </c>
      <c r="J288">
        <f t="shared" ref="J288" si="287">I288</f>
        <v>0</v>
      </c>
      <c r="K288" t="s">
        <v>12</v>
      </c>
    </row>
    <row r="289" spans="1:11" ht="300">
      <c r="A289" s="1" t="str">
        <f t="shared" si="256"/>
        <v>Oil Heater (SFH 17kW)_Town_B-LVL_SFH</v>
      </c>
      <c r="B289" t="s">
        <v>8</v>
      </c>
      <c r="C289" t="s">
        <v>121</v>
      </c>
      <c r="D289" t="s">
        <v>13</v>
      </c>
      <c r="E289" t="s">
        <v>11</v>
      </c>
      <c r="F289" s="3" t="s">
        <v>119</v>
      </c>
      <c r="I289">
        <v>49.3</v>
      </c>
      <c r="J289">
        <f t="shared" ref="J289" si="288">I287*I289</f>
        <v>84500.2</v>
      </c>
      <c r="K289" t="s">
        <v>13</v>
      </c>
    </row>
    <row r="290" spans="1:11">
      <c r="A290" s="1" t="str">
        <f t="shared" si="256"/>
        <v>OpenField PV 1MW_D-LVL_Anglikon</v>
      </c>
      <c r="B290" t="s">
        <v>8</v>
      </c>
      <c r="C290" t="s">
        <v>122</v>
      </c>
      <c r="D290" t="s">
        <v>10</v>
      </c>
      <c r="E290" t="s">
        <v>11</v>
      </c>
      <c r="F290" s="3">
        <v>111</v>
      </c>
      <c r="I290">
        <v>111</v>
      </c>
      <c r="J290">
        <f t="shared" ref="J290" si="289">I290/I290</f>
        <v>1</v>
      </c>
      <c r="K290" t="s">
        <v>10</v>
      </c>
    </row>
    <row r="291" spans="1:11">
      <c r="A291" s="1" t="str">
        <f t="shared" si="256"/>
        <v>OpenField PV 1MW_D-LVL_Anglikon</v>
      </c>
      <c r="B291" t="s">
        <v>8</v>
      </c>
      <c r="C291" t="s">
        <v>122</v>
      </c>
      <c r="D291" t="s">
        <v>12</v>
      </c>
      <c r="E291" t="s">
        <v>11</v>
      </c>
      <c r="F291" s="3">
        <v>0</v>
      </c>
      <c r="I291">
        <v>0</v>
      </c>
      <c r="J291">
        <f t="shared" ref="J291" si="290">I291</f>
        <v>0</v>
      </c>
      <c r="K291" t="s">
        <v>12</v>
      </c>
    </row>
    <row r="292" spans="1:11" ht="225">
      <c r="A292" s="1" t="str">
        <f t="shared" si="256"/>
        <v>OpenField PV 1MW_D-LVL_Anglikon</v>
      </c>
      <c r="B292" t="s">
        <v>8</v>
      </c>
      <c r="C292" t="s">
        <v>122</v>
      </c>
      <c r="D292" t="s">
        <v>13</v>
      </c>
      <c r="E292" t="s">
        <v>11</v>
      </c>
      <c r="F292" s="3" t="s">
        <v>123</v>
      </c>
      <c r="I292">
        <v>400</v>
      </c>
      <c r="J292">
        <f t="shared" ref="J292" si="291">I290*I292</f>
        <v>44400</v>
      </c>
      <c r="K292" t="s">
        <v>13</v>
      </c>
    </row>
    <row r="293" spans="1:11">
      <c r="A293" s="1" t="str">
        <f t="shared" si="256"/>
        <v>OpenField PV 1MW_D-LVL_Oberdorf</v>
      </c>
      <c r="B293" t="s">
        <v>8</v>
      </c>
      <c r="C293" t="s">
        <v>124</v>
      </c>
      <c r="D293" t="s">
        <v>10</v>
      </c>
      <c r="E293" t="s">
        <v>11</v>
      </c>
      <c r="F293" s="3">
        <v>111</v>
      </c>
      <c r="I293">
        <v>111</v>
      </c>
      <c r="J293">
        <f t="shared" ref="J293" si="292">I293/I293</f>
        <v>1</v>
      </c>
      <c r="K293" t="s">
        <v>10</v>
      </c>
    </row>
    <row r="294" spans="1:11">
      <c r="A294" s="1" t="str">
        <f t="shared" si="256"/>
        <v>OpenField PV 1MW_D-LVL_Oberdorf</v>
      </c>
      <c r="B294" t="s">
        <v>8</v>
      </c>
      <c r="C294" t="s">
        <v>124</v>
      </c>
      <c r="D294" t="s">
        <v>12</v>
      </c>
      <c r="E294" t="s">
        <v>11</v>
      </c>
      <c r="F294" s="3">
        <v>0</v>
      </c>
      <c r="I294">
        <v>0</v>
      </c>
      <c r="J294">
        <f t="shared" ref="J294" si="293">I294</f>
        <v>0</v>
      </c>
      <c r="K294" t="s">
        <v>12</v>
      </c>
    </row>
    <row r="295" spans="1:11" ht="225">
      <c r="A295" s="1" t="str">
        <f t="shared" si="256"/>
        <v>OpenField PV 1MW_D-LVL_Oberdorf</v>
      </c>
      <c r="B295" t="s">
        <v>8</v>
      </c>
      <c r="C295" t="s">
        <v>124</v>
      </c>
      <c r="D295" t="s">
        <v>13</v>
      </c>
      <c r="E295" t="s">
        <v>11</v>
      </c>
      <c r="F295" s="3" t="s">
        <v>123</v>
      </c>
      <c r="I295">
        <v>400</v>
      </c>
      <c r="J295">
        <f t="shared" ref="J295" si="294">I293*I295</f>
        <v>44400</v>
      </c>
      <c r="K295" t="s">
        <v>13</v>
      </c>
    </row>
    <row r="296" spans="1:11">
      <c r="A296" s="1" t="str">
        <f t="shared" si="256"/>
        <v>OpenField PV 1MW_D-LVL_Town</v>
      </c>
      <c r="B296" t="s">
        <v>8</v>
      </c>
      <c r="C296" t="s">
        <v>125</v>
      </c>
      <c r="D296" t="s">
        <v>10</v>
      </c>
      <c r="E296" t="s">
        <v>11</v>
      </c>
      <c r="F296" s="3">
        <v>111</v>
      </c>
      <c r="I296">
        <v>111</v>
      </c>
      <c r="J296">
        <f t="shared" ref="J296" si="295">I296/I296</f>
        <v>1</v>
      </c>
      <c r="K296" t="s">
        <v>10</v>
      </c>
    </row>
    <row r="297" spans="1:11">
      <c r="A297" s="1" t="str">
        <f t="shared" si="256"/>
        <v>OpenField PV 1MW_D-LVL_Town</v>
      </c>
      <c r="B297" t="s">
        <v>8</v>
      </c>
      <c r="C297" t="s">
        <v>125</v>
      </c>
      <c r="D297" t="s">
        <v>12</v>
      </c>
      <c r="E297" t="s">
        <v>11</v>
      </c>
      <c r="F297" s="3">
        <v>0</v>
      </c>
      <c r="I297">
        <v>0</v>
      </c>
      <c r="J297">
        <f t="shared" ref="J297" si="296">I297</f>
        <v>0</v>
      </c>
      <c r="K297" t="s">
        <v>12</v>
      </c>
    </row>
    <row r="298" spans="1:11" ht="225">
      <c r="A298" s="1" t="str">
        <f t="shared" si="256"/>
        <v>OpenField PV 1MW_D-LVL_Town</v>
      </c>
      <c r="B298" t="s">
        <v>8</v>
      </c>
      <c r="C298" t="s">
        <v>125</v>
      </c>
      <c r="D298" t="s">
        <v>13</v>
      </c>
      <c r="E298" t="s">
        <v>11</v>
      </c>
      <c r="F298" s="3" t="s">
        <v>123</v>
      </c>
      <c r="I298">
        <v>400</v>
      </c>
      <c r="J298">
        <f t="shared" ref="J298" si="297">I296*I298</f>
        <v>44400</v>
      </c>
      <c r="K298" t="s">
        <v>13</v>
      </c>
    </row>
    <row r="299" spans="1:11">
      <c r="A299" s="1" t="str">
        <f t="shared" si="256"/>
        <v>PTES Seasonal 4.5GWh_D-LVL_Anglikon</v>
      </c>
      <c r="B299" t="s">
        <v>8</v>
      </c>
      <c r="C299" t="s">
        <v>126</v>
      </c>
      <c r="D299" t="s">
        <v>10</v>
      </c>
      <c r="E299" t="s">
        <v>11</v>
      </c>
      <c r="F299" s="3">
        <v>10</v>
      </c>
      <c r="I299">
        <v>10</v>
      </c>
      <c r="J299">
        <f t="shared" ref="J299" si="298">I299/I299</f>
        <v>1</v>
      </c>
      <c r="K299" t="s">
        <v>10</v>
      </c>
    </row>
    <row r="300" spans="1:11">
      <c r="A300" s="1" t="str">
        <f t="shared" si="256"/>
        <v>PTES Seasonal 4.5GWh_D-LVL_Anglikon</v>
      </c>
      <c r="B300" t="s">
        <v>8</v>
      </c>
      <c r="C300" t="s">
        <v>126</v>
      </c>
      <c r="D300" t="s">
        <v>12</v>
      </c>
      <c r="E300" t="s">
        <v>11</v>
      </c>
      <c r="F300" s="3">
        <v>0</v>
      </c>
      <c r="I300">
        <v>0</v>
      </c>
      <c r="J300">
        <f t="shared" ref="J300" si="299">I300</f>
        <v>0</v>
      </c>
      <c r="K300" t="s">
        <v>12</v>
      </c>
    </row>
    <row r="301" spans="1:11">
      <c r="A301" s="1" t="str">
        <f t="shared" si="256"/>
        <v>PTES Seasonal 4.5GWh_D-LVL_Anglikon</v>
      </c>
      <c r="B301" t="s">
        <v>8</v>
      </c>
      <c r="C301" t="s">
        <v>126</v>
      </c>
      <c r="D301" t="s">
        <v>13</v>
      </c>
      <c r="E301" t="s">
        <v>11</v>
      </c>
      <c r="F301" s="3">
        <v>2655</v>
      </c>
      <c r="I301">
        <v>2655</v>
      </c>
      <c r="J301">
        <f t="shared" ref="J301" si="300">I299*I301</f>
        <v>26550</v>
      </c>
      <c r="K301" t="s">
        <v>13</v>
      </c>
    </row>
    <row r="302" spans="1:11">
      <c r="A302" s="1" t="str">
        <f t="shared" si="256"/>
        <v>PTES Seasonal 4.5GWh_D-LVL_Oberdorf</v>
      </c>
      <c r="B302" t="s">
        <v>8</v>
      </c>
      <c r="C302" t="s">
        <v>127</v>
      </c>
      <c r="D302" t="s">
        <v>10</v>
      </c>
      <c r="E302" t="s">
        <v>11</v>
      </c>
      <c r="F302" s="3">
        <v>10</v>
      </c>
      <c r="I302">
        <v>10</v>
      </c>
      <c r="J302">
        <f t="shared" ref="J302" si="301">I302/I302</f>
        <v>1</v>
      </c>
      <c r="K302" t="s">
        <v>10</v>
      </c>
    </row>
    <row r="303" spans="1:11">
      <c r="A303" s="1" t="str">
        <f t="shared" si="256"/>
        <v>PTES Seasonal 4.5GWh_D-LVL_Oberdorf</v>
      </c>
      <c r="B303" t="s">
        <v>8</v>
      </c>
      <c r="C303" t="s">
        <v>127</v>
      </c>
      <c r="D303" t="s">
        <v>12</v>
      </c>
      <c r="E303" t="s">
        <v>11</v>
      </c>
      <c r="F303" s="3">
        <v>0</v>
      </c>
      <c r="I303">
        <v>0</v>
      </c>
      <c r="J303">
        <f t="shared" ref="J303" si="302">I303</f>
        <v>0</v>
      </c>
      <c r="K303" t="s">
        <v>12</v>
      </c>
    </row>
    <row r="304" spans="1:11">
      <c r="A304" s="1" t="str">
        <f t="shared" si="256"/>
        <v>PTES Seasonal 4.5GWh_D-LVL_Oberdorf</v>
      </c>
      <c r="B304" t="s">
        <v>8</v>
      </c>
      <c r="C304" t="s">
        <v>127</v>
      </c>
      <c r="D304" t="s">
        <v>13</v>
      </c>
      <c r="E304" t="s">
        <v>11</v>
      </c>
      <c r="F304" s="3">
        <v>2655</v>
      </c>
      <c r="I304">
        <v>2655</v>
      </c>
      <c r="J304">
        <f t="shared" ref="J304" si="303">I302*I304</f>
        <v>26550</v>
      </c>
      <c r="K304" t="s">
        <v>13</v>
      </c>
    </row>
    <row r="305" spans="1:11">
      <c r="A305" s="1" t="str">
        <f t="shared" si="256"/>
        <v>PTES Seasonal 4.5GWh_D-LVL_Town</v>
      </c>
      <c r="B305" t="s">
        <v>8</v>
      </c>
      <c r="C305" t="s">
        <v>128</v>
      </c>
      <c r="D305" t="s">
        <v>10</v>
      </c>
      <c r="E305" t="s">
        <v>11</v>
      </c>
      <c r="F305" s="3">
        <v>10</v>
      </c>
      <c r="I305">
        <v>10</v>
      </c>
      <c r="J305">
        <f t="shared" ref="J305" si="304">I305/I305</f>
        <v>1</v>
      </c>
      <c r="K305" t="s">
        <v>10</v>
      </c>
    </row>
    <row r="306" spans="1:11">
      <c r="A306" s="1" t="str">
        <f t="shared" si="256"/>
        <v>PTES Seasonal 4.5GWh_D-LVL_Town</v>
      </c>
      <c r="B306" t="s">
        <v>8</v>
      </c>
      <c r="C306" t="s">
        <v>128</v>
      </c>
      <c r="D306" t="s">
        <v>12</v>
      </c>
      <c r="E306" t="s">
        <v>11</v>
      </c>
      <c r="F306" s="3">
        <v>0</v>
      </c>
      <c r="I306">
        <v>0</v>
      </c>
      <c r="J306">
        <f t="shared" ref="J306" si="305">I306</f>
        <v>0</v>
      </c>
      <c r="K306" t="s">
        <v>12</v>
      </c>
    </row>
    <row r="307" spans="1:11">
      <c r="A307" s="1" t="str">
        <f t="shared" si="256"/>
        <v>PTES Seasonal 4.5GWh_D-LVL_Town</v>
      </c>
      <c r="B307" t="s">
        <v>8</v>
      </c>
      <c r="C307" t="s">
        <v>128</v>
      </c>
      <c r="D307" t="s">
        <v>13</v>
      </c>
      <c r="E307" t="s">
        <v>11</v>
      </c>
      <c r="F307" s="3">
        <v>2655</v>
      </c>
      <c r="I307">
        <v>2655</v>
      </c>
      <c r="J307">
        <f t="shared" ref="J307" si="306">I305*I307</f>
        <v>26550</v>
      </c>
      <c r="K307" t="s">
        <v>13</v>
      </c>
    </row>
    <row r="308" spans="1:11">
      <c r="A308" s="1" t="str">
        <f t="shared" si="256"/>
        <v>Rooftop PV 10kW_Anglikon_B-LVL_SFH</v>
      </c>
      <c r="B308" t="s">
        <v>8</v>
      </c>
      <c r="C308" t="s">
        <v>129</v>
      </c>
      <c r="D308" t="s">
        <v>10</v>
      </c>
      <c r="E308" t="s">
        <v>11</v>
      </c>
      <c r="F308" s="3">
        <v>279</v>
      </c>
      <c r="I308">
        <v>279</v>
      </c>
      <c r="J308">
        <f t="shared" ref="J308" si="307">I308/I308</f>
        <v>1</v>
      </c>
      <c r="K308" t="s">
        <v>10</v>
      </c>
    </row>
    <row r="309" spans="1:11">
      <c r="A309" s="1" t="str">
        <f t="shared" si="256"/>
        <v>Rooftop PV 10kW_Anglikon_B-LVL_SFH</v>
      </c>
      <c r="B309" t="s">
        <v>8</v>
      </c>
      <c r="C309" t="s">
        <v>129</v>
      </c>
      <c r="D309" t="s">
        <v>12</v>
      </c>
      <c r="E309" t="s">
        <v>11</v>
      </c>
      <c r="F309" s="3">
        <v>0</v>
      </c>
      <c r="I309">
        <v>0</v>
      </c>
      <c r="J309">
        <f t="shared" ref="J309" si="308">I309</f>
        <v>0</v>
      </c>
      <c r="K309" t="s">
        <v>12</v>
      </c>
    </row>
    <row r="310" spans="1:11" ht="180">
      <c r="A310" s="1" t="str">
        <f t="shared" si="256"/>
        <v>Rooftop PV 10kW_Anglikon_B-LVL_SFH</v>
      </c>
      <c r="B310" t="s">
        <v>8</v>
      </c>
      <c r="C310" t="s">
        <v>129</v>
      </c>
      <c r="D310" t="s">
        <v>13</v>
      </c>
      <c r="E310" t="s">
        <v>11</v>
      </c>
      <c r="F310" s="3" t="s">
        <v>130</v>
      </c>
      <c r="I310">
        <v>17</v>
      </c>
      <c r="J310">
        <f t="shared" ref="J310" si="309">I308*I310</f>
        <v>4743</v>
      </c>
      <c r="K310" t="s">
        <v>13</v>
      </c>
    </row>
    <row r="311" spans="1:11">
      <c r="A311" s="1" t="str">
        <f t="shared" si="256"/>
        <v>Rooftop PV 10kW_Oberdorf_B-LVL_SFH</v>
      </c>
      <c r="B311" t="s">
        <v>8</v>
      </c>
      <c r="C311" t="s">
        <v>131</v>
      </c>
      <c r="D311" t="s">
        <v>10</v>
      </c>
      <c r="E311" t="s">
        <v>11</v>
      </c>
      <c r="F311" s="3">
        <v>530</v>
      </c>
      <c r="I311">
        <v>530</v>
      </c>
      <c r="J311">
        <f t="shared" ref="J311" si="310">I311/I311</f>
        <v>1</v>
      </c>
      <c r="K311" t="s">
        <v>10</v>
      </c>
    </row>
    <row r="312" spans="1:11">
      <c r="A312" s="1" t="str">
        <f t="shared" si="256"/>
        <v>Rooftop PV 10kW_Oberdorf_B-LVL_SFH</v>
      </c>
      <c r="B312" t="s">
        <v>8</v>
      </c>
      <c r="C312" t="s">
        <v>131</v>
      </c>
      <c r="D312" t="s">
        <v>12</v>
      </c>
      <c r="E312" t="s">
        <v>11</v>
      </c>
      <c r="F312" s="3">
        <v>0</v>
      </c>
      <c r="I312">
        <v>0</v>
      </c>
      <c r="J312">
        <f t="shared" ref="J312" si="311">I312</f>
        <v>0</v>
      </c>
      <c r="K312" t="s">
        <v>12</v>
      </c>
    </row>
    <row r="313" spans="1:11" ht="180">
      <c r="A313" s="1" t="str">
        <f t="shared" si="256"/>
        <v>Rooftop PV 10kW_Oberdorf_B-LVL_SFH</v>
      </c>
      <c r="B313" t="s">
        <v>8</v>
      </c>
      <c r="C313" t="s">
        <v>131</v>
      </c>
      <c r="D313" t="s">
        <v>13</v>
      </c>
      <c r="E313" t="s">
        <v>11</v>
      </c>
      <c r="F313" s="3" t="s">
        <v>130</v>
      </c>
      <c r="I313">
        <v>17</v>
      </c>
      <c r="J313">
        <f t="shared" ref="J313" si="312">I311*I313</f>
        <v>9010</v>
      </c>
      <c r="K313" t="s">
        <v>13</v>
      </c>
    </row>
    <row r="314" spans="1:11">
      <c r="A314" s="1" t="str">
        <f t="shared" si="256"/>
        <v>Rooftop PV 10kW_Town_B-LVL_SFH</v>
      </c>
      <c r="B314" t="s">
        <v>8</v>
      </c>
      <c r="C314" t="s">
        <v>132</v>
      </c>
      <c r="D314" t="s">
        <v>10</v>
      </c>
      <c r="E314" t="s">
        <v>11</v>
      </c>
      <c r="F314" s="3">
        <v>1714</v>
      </c>
      <c r="I314">
        <v>1714</v>
      </c>
      <c r="J314">
        <f t="shared" ref="J314" si="313">I314/I314</f>
        <v>1</v>
      </c>
      <c r="K314" t="s">
        <v>10</v>
      </c>
    </row>
    <row r="315" spans="1:11">
      <c r="A315" s="1" t="str">
        <f t="shared" si="256"/>
        <v>Rooftop PV 10kW_Town_B-LVL_SFH</v>
      </c>
      <c r="B315" t="s">
        <v>8</v>
      </c>
      <c r="C315" t="s">
        <v>132</v>
      </c>
      <c r="D315" t="s">
        <v>12</v>
      </c>
      <c r="E315" t="s">
        <v>11</v>
      </c>
      <c r="F315" s="3">
        <v>0</v>
      </c>
      <c r="I315">
        <v>0</v>
      </c>
      <c r="J315">
        <f t="shared" ref="J315" si="314">I315</f>
        <v>0</v>
      </c>
      <c r="K315" t="s">
        <v>12</v>
      </c>
    </row>
    <row r="316" spans="1:11" ht="180">
      <c r="A316" s="1" t="str">
        <f t="shared" si="256"/>
        <v>Rooftop PV 10kW_Town_B-LVL_SFH</v>
      </c>
      <c r="B316" t="s">
        <v>8</v>
      </c>
      <c r="C316" t="s">
        <v>132</v>
      </c>
      <c r="D316" t="s">
        <v>13</v>
      </c>
      <c r="E316" t="s">
        <v>11</v>
      </c>
      <c r="F316" s="3" t="s">
        <v>130</v>
      </c>
      <c r="I316">
        <v>17</v>
      </c>
      <c r="J316">
        <f t="shared" ref="J316" si="315">I314*I316</f>
        <v>29138</v>
      </c>
      <c r="K316" t="s">
        <v>13</v>
      </c>
    </row>
    <row r="317" spans="1:11">
      <c r="A317" s="1" t="str">
        <f t="shared" si="256"/>
        <v>Rooftop PV 30kW_Anglikon_B-LVL_MFH</v>
      </c>
      <c r="B317" t="s">
        <v>8</v>
      </c>
      <c r="C317" t="s">
        <v>133</v>
      </c>
      <c r="D317" t="s">
        <v>10</v>
      </c>
      <c r="E317" t="s">
        <v>11</v>
      </c>
      <c r="F317" s="3">
        <v>44</v>
      </c>
      <c r="I317">
        <v>44</v>
      </c>
      <c r="J317">
        <f t="shared" ref="J317" si="316">I317/I317</f>
        <v>1</v>
      </c>
      <c r="K317" t="s">
        <v>10</v>
      </c>
    </row>
    <row r="318" spans="1:11">
      <c r="A318" s="1" t="str">
        <f t="shared" si="256"/>
        <v>Rooftop PV 30kW_Anglikon_B-LVL_MFH</v>
      </c>
      <c r="B318" t="s">
        <v>8</v>
      </c>
      <c r="C318" t="s">
        <v>133</v>
      </c>
      <c r="D318" t="s">
        <v>12</v>
      </c>
      <c r="E318" t="s">
        <v>11</v>
      </c>
      <c r="F318" s="3">
        <v>0</v>
      </c>
      <c r="I318">
        <v>0</v>
      </c>
      <c r="J318">
        <f t="shared" ref="J318" si="317">I318</f>
        <v>0</v>
      </c>
      <c r="K318" t="s">
        <v>12</v>
      </c>
    </row>
    <row r="319" spans="1:11" ht="180">
      <c r="A319" s="1" t="str">
        <f t="shared" si="256"/>
        <v>Rooftop PV 30kW_Anglikon_B-LVL_MFH</v>
      </c>
      <c r="B319" t="s">
        <v>8</v>
      </c>
      <c r="C319" t="s">
        <v>133</v>
      </c>
      <c r="D319" t="s">
        <v>13</v>
      </c>
      <c r="E319" t="s">
        <v>11</v>
      </c>
      <c r="F319" s="3" t="s">
        <v>134</v>
      </c>
      <c r="I319">
        <v>48</v>
      </c>
      <c r="J319">
        <f t="shared" ref="J319" si="318">I317*I319</f>
        <v>2112</v>
      </c>
      <c r="K319" t="s">
        <v>13</v>
      </c>
    </row>
    <row r="320" spans="1:11">
      <c r="A320" s="1" t="str">
        <f t="shared" si="256"/>
        <v>Rooftop PV 30kW_Oberdorf_B-LVL_MFH</v>
      </c>
      <c r="B320" t="s">
        <v>8</v>
      </c>
      <c r="C320" t="s">
        <v>135</v>
      </c>
      <c r="D320" t="s">
        <v>10</v>
      </c>
      <c r="E320" t="s">
        <v>11</v>
      </c>
      <c r="F320" s="3">
        <v>71</v>
      </c>
      <c r="I320">
        <v>71</v>
      </c>
      <c r="J320">
        <f t="shared" ref="J320" si="319">I320/I320</f>
        <v>1</v>
      </c>
      <c r="K320" t="s">
        <v>10</v>
      </c>
    </row>
    <row r="321" spans="1:11">
      <c r="A321" s="1" t="str">
        <f t="shared" si="256"/>
        <v>Rooftop PV 30kW_Oberdorf_B-LVL_MFH</v>
      </c>
      <c r="B321" t="s">
        <v>8</v>
      </c>
      <c r="C321" t="s">
        <v>135</v>
      </c>
      <c r="D321" t="s">
        <v>12</v>
      </c>
      <c r="E321" t="s">
        <v>11</v>
      </c>
      <c r="F321" s="3">
        <v>0</v>
      </c>
      <c r="I321">
        <v>0</v>
      </c>
      <c r="J321">
        <f t="shared" ref="J321" si="320">I321</f>
        <v>0</v>
      </c>
      <c r="K321" t="s">
        <v>12</v>
      </c>
    </row>
    <row r="322" spans="1:11" ht="180">
      <c r="A322" s="1" t="str">
        <f t="shared" ref="A322:A381" si="321">IFERROR(LEFT(C322, FIND(_xlfn.UNICHAR(448), C322) - 1), C322)</f>
        <v>Rooftop PV 30kW_Oberdorf_B-LVL_MFH</v>
      </c>
      <c r="B322" t="s">
        <v>8</v>
      </c>
      <c r="C322" t="s">
        <v>135</v>
      </c>
      <c r="D322" t="s">
        <v>13</v>
      </c>
      <c r="E322" t="s">
        <v>11</v>
      </c>
      <c r="F322" s="3" t="s">
        <v>134</v>
      </c>
      <c r="I322">
        <v>48</v>
      </c>
      <c r="J322">
        <f t="shared" ref="J322" si="322">I320*I322</f>
        <v>3408</v>
      </c>
      <c r="K322" t="s">
        <v>13</v>
      </c>
    </row>
    <row r="323" spans="1:11">
      <c r="A323" s="1" t="str">
        <f t="shared" si="321"/>
        <v>Rooftop PV 30kW_Town_B-LVL_MFH</v>
      </c>
      <c r="B323" t="s">
        <v>8</v>
      </c>
      <c r="C323" t="s">
        <v>136</v>
      </c>
      <c r="D323" t="s">
        <v>10</v>
      </c>
      <c r="E323" t="s">
        <v>11</v>
      </c>
      <c r="F323" s="3">
        <v>537</v>
      </c>
      <c r="I323">
        <v>537</v>
      </c>
      <c r="J323">
        <f t="shared" ref="J323" si="323">I323/I323</f>
        <v>1</v>
      </c>
      <c r="K323" t="s">
        <v>10</v>
      </c>
    </row>
    <row r="324" spans="1:11">
      <c r="A324" s="1" t="str">
        <f t="shared" si="321"/>
        <v>Rooftop PV 30kW_Town_B-LVL_MFH</v>
      </c>
      <c r="B324" t="s">
        <v>8</v>
      </c>
      <c r="C324" t="s">
        <v>136</v>
      </c>
      <c r="D324" t="s">
        <v>12</v>
      </c>
      <c r="E324" t="s">
        <v>11</v>
      </c>
      <c r="F324" s="3">
        <v>0</v>
      </c>
      <c r="I324">
        <v>0</v>
      </c>
      <c r="J324">
        <f t="shared" ref="J324" si="324">I324</f>
        <v>0</v>
      </c>
      <c r="K324" t="s">
        <v>12</v>
      </c>
    </row>
    <row r="325" spans="1:11" ht="180">
      <c r="A325" s="1" t="str">
        <f t="shared" si="321"/>
        <v>Rooftop PV 30kW_Town_B-LVL_MFH</v>
      </c>
      <c r="B325" t="s">
        <v>8</v>
      </c>
      <c r="C325" t="s">
        <v>136</v>
      </c>
      <c r="D325" t="s">
        <v>13</v>
      </c>
      <c r="E325" t="s">
        <v>11</v>
      </c>
      <c r="F325" s="3" t="s">
        <v>134</v>
      </c>
      <c r="I325">
        <v>48</v>
      </c>
      <c r="J325">
        <f t="shared" ref="J325" si="325">I323*I325</f>
        <v>25776</v>
      </c>
      <c r="K325" t="s">
        <v>13</v>
      </c>
    </row>
    <row r="326" spans="1:11">
      <c r="A326" s="1" t="str">
        <f t="shared" si="321"/>
        <v>Vanadium Redox Flow Battery 2MWh_Anglikon_B-LVL_MFH</v>
      </c>
      <c r="B326" t="s">
        <v>8</v>
      </c>
      <c r="C326" t="s">
        <v>137</v>
      </c>
      <c r="D326" t="s">
        <v>10</v>
      </c>
      <c r="E326" t="s">
        <v>11</v>
      </c>
      <c r="F326" s="3">
        <v>44</v>
      </c>
      <c r="I326">
        <v>44</v>
      </c>
      <c r="J326">
        <f t="shared" ref="J326" si="326">I326/I326</f>
        <v>1</v>
      </c>
      <c r="K326" t="s">
        <v>10</v>
      </c>
    </row>
    <row r="327" spans="1:11">
      <c r="A327" s="1" t="str">
        <f t="shared" si="321"/>
        <v>Vanadium Redox Flow Battery 2MWh_Anglikon_B-LVL_MFH</v>
      </c>
      <c r="B327" t="s">
        <v>8</v>
      </c>
      <c r="C327" t="s">
        <v>137</v>
      </c>
      <c r="D327" t="s">
        <v>12</v>
      </c>
      <c r="E327" t="s">
        <v>11</v>
      </c>
      <c r="F327" s="3">
        <v>0</v>
      </c>
      <c r="I327">
        <v>0</v>
      </c>
      <c r="J327">
        <f t="shared" ref="J327" si="327">I327</f>
        <v>0</v>
      </c>
      <c r="K327" t="s">
        <v>12</v>
      </c>
    </row>
    <row r="328" spans="1:11" ht="180">
      <c r="A328" s="1" t="str">
        <f t="shared" si="321"/>
        <v>Vanadium Redox Flow Battery 2MWh_Anglikon_B-LVL_MFH</v>
      </c>
      <c r="B328" t="s">
        <v>8</v>
      </c>
      <c r="C328" t="s">
        <v>137</v>
      </c>
      <c r="D328" t="s">
        <v>13</v>
      </c>
      <c r="E328" t="s">
        <v>11</v>
      </c>
      <c r="F328" s="3" t="s">
        <v>138</v>
      </c>
      <c r="I328">
        <v>740</v>
      </c>
      <c r="J328">
        <f t="shared" ref="J328" si="328">I326*I328</f>
        <v>32560</v>
      </c>
      <c r="K328" t="s">
        <v>13</v>
      </c>
    </row>
    <row r="329" spans="1:11">
      <c r="A329" s="1" t="str">
        <f t="shared" si="321"/>
        <v>Vanadium Redox Flow Battery 2MWh_Anglikon_B-LVL_SFH</v>
      </c>
      <c r="B329" t="s">
        <v>8</v>
      </c>
      <c r="C329" t="s">
        <v>139</v>
      </c>
      <c r="D329" t="s">
        <v>10</v>
      </c>
      <c r="E329" t="s">
        <v>11</v>
      </c>
      <c r="F329" s="3">
        <v>279</v>
      </c>
      <c r="I329">
        <v>279</v>
      </c>
      <c r="J329">
        <f t="shared" ref="J329" si="329">I329/I329</f>
        <v>1</v>
      </c>
      <c r="K329" t="s">
        <v>10</v>
      </c>
    </row>
    <row r="330" spans="1:11">
      <c r="A330" s="1" t="str">
        <f t="shared" si="321"/>
        <v>Vanadium Redox Flow Battery 2MWh_Anglikon_B-LVL_SFH</v>
      </c>
      <c r="B330" t="s">
        <v>8</v>
      </c>
      <c r="C330" t="s">
        <v>139</v>
      </c>
      <c r="D330" t="s">
        <v>12</v>
      </c>
      <c r="E330" t="s">
        <v>11</v>
      </c>
      <c r="F330" s="3">
        <v>0</v>
      </c>
      <c r="I330">
        <v>0</v>
      </c>
      <c r="J330">
        <f t="shared" ref="J330" si="330">I330</f>
        <v>0</v>
      </c>
      <c r="K330" t="s">
        <v>12</v>
      </c>
    </row>
    <row r="331" spans="1:11" ht="180">
      <c r="A331" s="1" t="str">
        <f t="shared" si="321"/>
        <v>Vanadium Redox Flow Battery 2MWh_Anglikon_B-LVL_SFH</v>
      </c>
      <c r="B331" t="s">
        <v>8</v>
      </c>
      <c r="C331" t="s">
        <v>139</v>
      </c>
      <c r="D331" t="s">
        <v>13</v>
      </c>
      <c r="E331" t="s">
        <v>11</v>
      </c>
      <c r="F331" s="3" t="s">
        <v>138</v>
      </c>
      <c r="I331">
        <v>740</v>
      </c>
      <c r="J331">
        <f t="shared" ref="J331" si="331">I329*I331</f>
        <v>206460</v>
      </c>
      <c r="K331" t="s">
        <v>13</v>
      </c>
    </row>
    <row r="332" spans="1:11">
      <c r="A332" s="1" t="str">
        <f t="shared" si="321"/>
        <v>Vanadium Redox Flow Battery 2MWh_Oberdorf_B-LVL_MFH</v>
      </c>
      <c r="B332" t="s">
        <v>8</v>
      </c>
      <c r="C332" t="s">
        <v>140</v>
      </c>
      <c r="D332" t="s">
        <v>10</v>
      </c>
      <c r="E332" t="s">
        <v>11</v>
      </c>
      <c r="F332" s="3">
        <v>71</v>
      </c>
      <c r="I332">
        <v>71</v>
      </c>
      <c r="J332">
        <f t="shared" ref="J332" si="332">I332/I332</f>
        <v>1</v>
      </c>
      <c r="K332" t="s">
        <v>10</v>
      </c>
    </row>
    <row r="333" spans="1:11">
      <c r="A333" s="1" t="str">
        <f t="shared" si="321"/>
        <v>Vanadium Redox Flow Battery 2MWh_Oberdorf_B-LVL_MFH</v>
      </c>
      <c r="B333" t="s">
        <v>8</v>
      </c>
      <c r="C333" t="s">
        <v>140</v>
      </c>
      <c r="D333" t="s">
        <v>12</v>
      </c>
      <c r="E333" t="s">
        <v>11</v>
      </c>
      <c r="F333" s="3">
        <v>0</v>
      </c>
      <c r="I333">
        <v>0</v>
      </c>
      <c r="J333">
        <f t="shared" ref="J333" si="333">I333</f>
        <v>0</v>
      </c>
      <c r="K333" t="s">
        <v>12</v>
      </c>
    </row>
    <row r="334" spans="1:11" ht="180">
      <c r="A334" s="1" t="str">
        <f t="shared" si="321"/>
        <v>Vanadium Redox Flow Battery 2MWh_Oberdorf_B-LVL_MFH</v>
      </c>
      <c r="B334" t="s">
        <v>8</v>
      </c>
      <c r="C334" t="s">
        <v>140</v>
      </c>
      <c r="D334" t="s">
        <v>13</v>
      </c>
      <c r="E334" t="s">
        <v>11</v>
      </c>
      <c r="F334" s="3" t="s">
        <v>138</v>
      </c>
      <c r="I334">
        <v>740</v>
      </c>
      <c r="J334">
        <f t="shared" ref="J334" si="334">I332*I334</f>
        <v>52540</v>
      </c>
      <c r="K334" t="s">
        <v>13</v>
      </c>
    </row>
    <row r="335" spans="1:11">
      <c r="A335" s="1" t="str">
        <f t="shared" si="321"/>
        <v>Vanadium Redox Flow Battery 2MWh_Oberdorf_B-LVL_SFH</v>
      </c>
      <c r="B335" t="s">
        <v>8</v>
      </c>
      <c r="C335" t="s">
        <v>141</v>
      </c>
      <c r="D335" t="s">
        <v>10</v>
      </c>
      <c r="E335" t="s">
        <v>11</v>
      </c>
      <c r="F335" s="3">
        <v>530</v>
      </c>
      <c r="I335">
        <v>530</v>
      </c>
      <c r="J335">
        <f t="shared" ref="J335" si="335">I335/I335</f>
        <v>1</v>
      </c>
      <c r="K335" t="s">
        <v>10</v>
      </c>
    </row>
    <row r="336" spans="1:11">
      <c r="A336" s="1" t="str">
        <f t="shared" si="321"/>
        <v>Vanadium Redox Flow Battery 2MWh_Oberdorf_B-LVL_SFH</v>
      </c>
      <c r="B336" t="s">
        <v>8</v>
      </c>
      <c r="C336" t="s">
        <v>141</v>
      </c>
      <c r="D336" t="s">
        <v>12</v>
      </c>
      <c r="E336" t="s">
        <v>11</v>
      </c>
      <c r="F336" s="3">
        <v>0</v>
      </c>
      <c r="I336">
        <v>0</v>
      </c>
      <c r="J336">
        <f t="shared" ref="J336" si="336">I336</f>
        <v>0</v>
      </c>
      <c r="K336" t="s">
        <v>12</v>
      </c>
    </row>
    <row r="337" spans="1:11" ht="180">
      <c r="A337" s="1" t="str">
        <f t="shared" si="321"/>
        <v>Vanadium Redox Flow Battery 2MWh_Oberdorf_B-LVL_SFH</v>
      </c>
      <c r="B337" t="s">
        <v>8</v>
      </c>
      <c r="C337" t="s">
        <v>141</v>
      </c>
      <c r="D337" t="s">
        <v>13</v>
      </c>
      <c r="E337" t="s">
        <v>11</v>
      </c>
      <c r="F337" s="3" t="s">
        <v>138</v>
      </c>
      <c r="I337">
        <v>740</v>
      </c>
      <c r="J337">
        <f t="shared" ref="J337" si="337">I335*I337</f>
        <v>392200</v>
      </c>
      <c r="K337" t="s">
        <v>13</v>
      </c>
    </row>
    <row r="338" spans="1:11">
      <c r="A338" s="1" t="str">
        <f t="shared" si="321"/>
        <v>Vanadium Redox Flow Battery 2MWh_Town_B-LVL_MFH</v>
      </c>
      <c r="B338" t="s">
        <v>8</v>
      </c>
      <c r="C338" t="s">
        <v>142</v>
      </c>
      <c r="D338" t="s">
        <v>10</v>
      </c>
      <c r="E338" t="s">
        <v>11</v>
      </c>
      <c r="F338" s="3">
        <v>537</v>
      </c>
      <c r="I338">
        <v>537</v>
      </c>
      <c r="J338">
        <f t="shared" ref="J338" si="338">I338/I338</f>
        <v>1</v>
      </c>
      <c r="K338" t="s">
        <v>10</v>
      </c>
    </row>
    <row r="339" spans="1:11">
      <c r="A339" s="1" t="str">
        <f t="shared" si="321"/>
        <v>Vanadium Redox Flow Battery 2MWh_Town_B-LVL_MFH</v>
      </c>
      <c r="B339" t="s">
        <v>8</v>
      </c>
      <c r="C339" t="s">
        <v>142</v>
      </c>
      <c r="D339" t="s">
        <v>12</v>
      </c>
      <c r="E339" t="s">
        <v>11</v>
      </c>
      <c r="F339" s="3">
        <v>0</v>
      </c>
      <c r="I339">
        <v>0</v>
      </c>
      <c r="J339">
        <f t="shared" ref="J339" si="339">I339</f>
        <v>0</v>
      </c>
      <c r="K339" t="s">
        <v>12</v>
      </c>
    </row>
    <row r="340" spans="1:11" ht="180">
      <c r="A340" s="1" t="str">
        <f t="shared" si="321"/>
        <v>Vanadium Redox Flow Battery 2MWh_Town_B-LVL_MFH</v>
      </c>
      <c r="B340" t="s">
        <v>8</v>
      </c>
      <c r="C340" t="s">
        <v>142</v>
      </c>
      <c r="D340" t="s">
        <v>13</v>
      </c>
      <c r="E340" t="s">
        <v>11</v>
      </c>
      <c r="F340" s="3" t="s">
        <v>138</v>
      </c>
      <c r="I340">
        <v>740</v>
      </c>
      <c r="J340">
        <f t="shared" ref="J340" si="340">I338*I340</f>
        <v>397380</v>
      </c>
      <c r="K340" t="s">
        <v>13</v>
      </c>
    </row>
    <row r="341" spans="1:11">
      <c r="A341" s="1" t="str">
        <f t="shared" si="321"/>
        <v>Vanadium Redox Flow Battery 2MWh_Town_B-LVL_SFH</v>
      </c>
      <c r="B341" t="s">
        <v>8</v>
      </c>
      <c r="C341" t="s">
        <v>143</v>
      </c>
      <c r="D341" t="s">
        <v>10</v>
      </c>
      <c r="E341" t="s">
        <v>11</v>
      </c>
      <c r="F341" s="3">
        <v>1714</v>
      </c>
      <c r="I341">
        <v>1714</v>
      </c>
      <c r="J341">
        <f t="shared" ref="J341" si="341">I341/I341</f>
        <v>1</v>
      </c>
      <c r="K341" t="s">
        <v>10</v>
      </c>
    </row>
    <row r="342" spans="1:11">
      <c r="A342" s="1" t="str">
        <f t="shared" si="321"/>
        <v>Vanadium Redox Flow Battery 2MWh_Town_B-LVL_SFH</v>
      </c>
      <c r="B342" t="s">
        <v>8</v>
      </c>
      <c r="C342" t="s">
        <v>143</v>
      </c>
      <c r="D342" t="s">
        <v>12</v>
      </c>
      <c r="E342" t="s">
        <v>11</v>
      </c>
      <c r="F342" s="3">
        <v>0</v>
      </c>
      <c r="I342">
        <v>0</v>
      </c>
      <c r="J342">
        <f t="shared" ref="J342" si="342">I342</f>
        <v>0</v>
      </c>
      <c r="K342" t="s">
        <v>12</v>
      </c>
    </row>
    <row r="343" spans="1:11" ht="180">
      <c r="A343" s="1" t="str">
        <f t="shared" si="321"/>
        <v>Vanadium Redox Flow Battery 2MWh_Town_B-LVL_SFH</v>
      </c>
      <c r="B343" t="s">
        <v>8</v>
      </c>
      <c r="C343" t="s">
        <v>143</v>
      </c>
      <c r="D343" t="s">
        <v>13</v>
      </c>
      <c r="E343" t="s">
        <v>11</v>
      </c>
      <c r="F343" s="3" t="s">
        <v>138</v>
      </c>
      <c r="I343">
        <v>740</v>
      </c>
      <c r="J343">
        <f t="shared" ref="J343" si="343">I341*I343</f>
        <v>1268360</v>
      </c>
      <c r="K343" t="s">
        <v>13</v>
      </c>
    </row>
    <row r="344" spans="1:11">
      <c r="A344" s="1" t="str">
        <f t="shared" si="321"/>
        <v>Wind Turbine 2 (onshore-3.3MW)_D-LVL_Town</v>
      </c>
      <c r="B344" t="s">
        <v>8</v>
      </c>
      <c r="C344" t="s">
        <v>144</v>
      </c>
      <c r="D344" t="s">
        <v>10</v>
      </c>
      <c r="E344" t="s">
        <v>11</v>
      </c>
      <c r="F344" s="3">
        <v>1</v>
      </c>
      <c r="I344">
        <v>1</v>
      </c>
      <c r="J344">
        <f t="shared" ref="J344" si="344">I344/I344</f>
        <v>1</v>
      </c>
      <c r="K344" t="s">
        <v>10</v>
      </c>
    </row>
    <row r="345" spans="1:11">
      <c r="A345" s="1" t="str">
        <f t="shared" si="321"/>
        <v>Wind Turbine 2 (onshore-3.3MW)_D-LVL_Town</v>
      </c>
      <c r="B345" t="s">
        <v>8</v>
      </c>
      <c r="C345" t="s">
        <v>144</v>
      </c>
      <c r="D345" t="s">
        <v>12</v>
      </c>
      <c r="E345" t="s">
        <v>11</v>
      </c>
      <c r="F345" s="3">
        <v>0</v>
      </c>
      <c r="I345">
        <v>0</v>
      </c>
      <c r="J345">
        <f t="shared" ref="J345" si="345">I345</f>
        <v>0</v>
      </c>
      <c r="K345" t="s">
        <v>12</v>
      </c>
    </row>
    <row r="346" spans="1:11" ht="240">
      <c r="A346" s="1" t="str">
        <f t="shared" si="321"/>
        <v>Wind Turbine 2 (onshore-3.3MW)_D-LVL_Town</v>
      </c>
      <c r="B346" t="s">
        <v>8</v>
      </c>
      <c r="C346" t="s">
        <v>144</v>
      </c>
      <c r="D346" t="s">
        <v>13</v>
      </c>
      <c r="E346" t="s">
        <v>11</v>
      </c>
      <c r="F346" s="3" t="s">
        <v>145</v>
      </c>
      <c r="I346">
        <v>6930</v>
      </c>
      <c r="J346">
        <f t="shared" ref="J346" si="346">I344*I346</f>
        <v>6930</v>
      </c>
      <c r="K346" t="s">
        <v>13</v>
      </c>
    </row>
    <row r="347" spans="1:11">
      <c r="A347" s="1" t="str">
        <f t="shared" si="321"/>
        <v>Wind Turbine (onshore-3.3MW)_D-LVL_Anglikon</v>
      </c>
      <c r="B347" t="s">
        <v>8</v>
      </c>
      <c r="C347" t="s">
        <v>146</v>
      </c>
      <c r="D347" t="s">
        <v>10</v>
      </c>
      <c r="E347" t="s">
        <v>11</v>
      </c>
      <c r="F347" s="3">
        <v>1</v>
      </c>
      <c r="I347">
        <v>1</v>
      </c>
      <c r="J347">
        <f t="shared" ref="J347" si="347">I347/I347</f>
        <v>1</v>
      </c>
      <c r="K347" t="s">
        <v>10</v>
      </c>
    </row>
    <row r="348" spans="1:11">
      <c r="A348" s="1" t="str">
        <f t="shared" si="321"/>
        <v>Wind Turbine (onshore-3.3MW)_D-LVL_Anglikon</v>
      </c>
      <c r="B348" t="s">
        <v>8</v>
      </c>
      <c r="C348" t="s">
        <v>146</v>
      </c>
      <c r="D348" t="s">
        <v>12</v>
      </c>
      <c r="E348" t="s">
        <v>11</v>
      </c>
      <c r="F348" s="3">
        <v>0</v>
      </c>
      <c r="I348">
        <v>0</v>
      </c>
      <c r="J348">
        <f t="shared" ref="J348" si="348">I348</f>
        <v>0</v>
      </c>
      <c r="K348" t="s">
        <v>12</v>
      </c>
    </row>
    <row r="349" spans="1:11" ht="240">
      <c r="A349" s="1" t="str">
        <f t="shared" si="321"/>
        <v>Wind Turbine (onshore-3.3MW)_D-LVL_Anglikon</v>
      </c>
      <c r="B349" t="s">
        <v>8</v>
      </c>
      <c r="C349" t="s">
        <v>146</v>
      </c>
      <c r="D349" t="s">
        <v>13</v>
      </c>
      <c r="E349" t="s">
        <v>11</v>
      </c>
      <c r="F349" s="3" t="s">
        <v>145</v>
      </c>
      <c r="I349">
        <v>6930</v>
      </c>
      <c r="J349">
        <f t="shared" ref="J349" si="349">I347*I349</f>
        <v>6930</v>
      </c>
      <c r="K349" t="s">
        <v>13</v>
      </c>
    </row>
    <row r="350" spans="1:11">
      <c r="A350" s="1" t="str">
        <f t="shared" si="321"/>
        <v>Wind Turbine (onshore-3.3MW)_D-LVL_Oberdorf</v>
      </c>
      <c r="B350" t="s">
        <v>8</v>
      </c>
      <c r="C350" t="s">
        <v>147</v>
      </c>
      <c r="D350" t="s">
        <v>10</v>
      </c>
      <c r="E350" t="s">
        <v>11</v>
      </c>
      <c r="F350" s="3">
        <v>1</v>
      </c>
      <c r="I350">
        <v>1</v>
      </c>
      <c r="J350">
        <f t="shared" ref="J350" si="350">I350/I350</f>
        <v>1</v>
      </c>
      <c r="K350" t="s">
        <v>10</v>
      </c>
    </row>
    <row r="351" spans="1:11">
      <c r="A351" s="1" t="str">
        <f t="shared" si="321"/>
        <v>Wind Turbine (onshore-3.3MW)_D-LVL_Oberdorf</v>
      </c>
      <c r="B351" t="s">
        <v>8</v>
      </c>
      <c r="C351" t="s">
        <v>147</v>
      </c>
      <c r="D351" t="s">
        <v>12</v>
      </c>
      <c r="E351" t="s">
        <v>11</v>
      </c>
      <c r="F351" s="3">
        <v>0</v>
      </c>
      <c r="I351">
        <v>0</v>
      </c>
      <c r="J351">
        <f t="shared" ref="J351" si="351">I351</f>
        <v>0</v>
      </c>
      <c r="K351" t="s">
        <v>12</v>
      </c>
    </row>
    <row r="352" spans="1:11" ht="240">
      <c r="A352" s="1" t="str">
        <f t="shared" si="321"/>
        <v>Wind Turbine (onshore-3.3MW)_D-LVL_Oberdorf</v>
      </c>
      <c r="B352" t="s">
        <v>8</v>
      </c>
      <c r="C352" t="s">
        <v>147</v>
      </c>
      <c r="D352" t="s">
        <v>13</v>
      </c>
      <c r="E352" t="s">
        <v>11</v>
      </c>
      <c r="F352" s="3" t="s">
        <v>145</v>
      </c>
      <c r="I352">
        <v>6930</v>
      </c>
      <c r="J352">
        <f t="shared" ref="J352" si="352">I350*I352</f>
        <v>6930</v>
      </c>
      <c r="K352" t="s">
        <v>13</v>
      </c>
    </row>
    <row r="353" spans="1:11">
      <c r="A353" s="1" t="str">
        <f t="shared" si="321"/>
        <v>Wind Turbine (onshore-3.3MW)_D-LVL_Town</v>
      </c>
      <c r="B353" t="s">
        <v>8</v>
      </c>
      <c r="C353" t="s">
        <v>148</v>
      </c>
      <c r="D353" t="s">
        <v>10</v>
      </c>
      <c r="E353" t="s">
        <v>11</v>
      </c>
      <c r="F353" s="3">
        <v>1</v>
      </c>
      <c r="I353">
        <v>1</v>
      </c>
      <c r="J353">
        <f t="shared" ref="J353" si="353">I353/I353</f>
        <v>1</v>
      </c>
      <c r="K353" t="s">
        <v>10</v>
      </c>
    </row>
    <row r="354" spans="1:11">
      <c r="A354" s="1" t="str">
        <f t="shared" si="321"/>
        <v>Wind Turbine (onshore-3.3MW)_D-LVL_Town</v>
      </c>
      <c r="B354" t="s">
        <v>8</v>
      </c>
      <c r="C354" t="s">
        <v>148</v>
      </c>
      <c r="D354" t="s">
        <v>12</v>
      </c>
      <c r="E354" t="s">
        <v>11</v>
      </c>
      <c r="F354" s="3">
        <v>0</v>
      </c>
      <c r="I354">
        <v>0</v>
      </c>
      <c r="J354">
        <f t="shared" ref="J354" si="354">I354</f>
        <v>0</v>
      </c>
      <c r="K354" t="s">
        <v>12</v>
      </c>
    </row>
    <row r="355" spans="1:11" ht="240">
      <c r="A355" s="1" t="str">
        <f t="shared" si="321"/>
        <v>Wind Turbine (onshore-3.3MW)_D-LVL_Town</v>
      </c>
      <c r="B355" t="s">
        <v>8</v>
      </c>
      <c r="C355" t="s">
        <v>148</v>
      </c>
      <c r="D355" t="s">
        <v>13</v>
      </c>
      <c r="E355" t="s">
        <v>11</v>
      </c>
      <c r="F355" s="3" t="s">
        <v>145</v>
      </c>
      <c r="I355">
        <v>6930</v>
      </c>
      <c r="J355">
        <f t="shared" ref="J355" si="355">I353*I355</f>
        <v>6930</v>
      </c>
      <c r="K355" t="s">
        <v>13</v>
      </c>
    </row>
    <row r="356" spans="1:11">
      <c r="A356" s="1" t="str">
        <f t="shared" si="321"/>
        <v>Wood Heater (MFH 80kW)_Anglikon_B-LVL_MFH</v>
      </c>
      <c r="B356" t="s">
        <v>8</v>
      </c>
      <c r="C356" t="s">
        <v>149</v>
      </c>
      <c r="D356" t="s">
        <v>10</v>
      </c>
      <c r="E356" t="s">
        <v>11</v>
      </c>
      <c r="F356" s="3">
        <v>44</v>
      </c>
      <c r="I356">
        <v>44</v>
      </c>
      <c r="J356">
        <f t="shared" ref="J356" si="356">I356/I356</f>
        <v>1</v>
      </c>
      <c r="K356" t="s">
        <v>10</v>
      </c>
    </row>
    <row r="357" spans="1:11">
      <c r="A357" s="1" t="str">
        <f t="shared" si="321"/>
        <v>Wood Heater (MFH 80kW)_Anglikon_B-LVL_MFH</v>
      </c>
      <c r="B357" t="s">
        <v>8</v>
      </c>
      <c r="C357" t="s">
        <v>149</v>
      </c>
      <c r="D357" t="s">
        <v>12</v>
      </c>
      <c r="E357" t="s">
        <v>11</v>
      </c>
      <c r="F357" s="3">
        <v>0</v>
      </c>
      <c r="I357">
        <v>0</v>
      </c>
      <c r="J357">
        <f t="shared" ref="J357" si="357">I357</f>
        <v>0</v>
      </c>
      <c r="K357" t="s">
        <v>12</v>
      </c>
    </row>
    <row r="358" spans="1:11" ht="225">
      <c r="A358" s="1" t="str">
        <f t="shared" si="321"/>
        <v>Wood Heater (MFH 80kW)_Anglikon_B-LVL_MFH</v>
      </c>
      <c r="B358" t="s">
        <v>8</v>
      </c>
      <c r="C358" t="s">
        <v>149</v>
      </c>
      <c r="D358" t="s">
        <v>13</v>
      </c>
      <c r="E358" t="s">
        <v>11</v>
      </c>
      <c r="F358" s="3" t="s">
        <v>150</v>
      </c>
      <c r="I358">
        <v>152</v>
      </c>
      <c r="J358">
        <f t="shared" ref="J358" si="358">I356*I358</f>
        <v>6688</v>
      </c>
      <c r="K358" t="s">
        <v>13</v>
      </c>
    </row>
    <row r="359" spans="1:11">
      <c r="A359" s="1" t="str">
        <f t="shared" si="321"/>
        <v>Wood Heater (MFH 80kW)_Oberdorf_B-LVL_MFH</v>
      </c>
      <c r="B359" t="s">
        <v>8</v>
      </c>
      <c r="C359" t="s">
        <v>151</v>
      </c>
      <c r="D359" t="s">
        <v>10</v>
      </c>
      <c r="E359" t="s">
        <v>11</v>
      </c>
      <c r="F359" s="3">
        <v>71</v>
      </c>
      <c r="I359">
        <v>71</v>
      </c>
      <c r="J359">
        <f t="shared" ref="J359" si="359">I359/I359</f>
        <v>1</v>
      </c>
      <c r="K359" t="s">
        <v>10</v>
      </c>
    </row>
    <row r="360" spans="1:11">
      <c r="A360" s="1" t="str">
        <f t="shared" si="321"/>
        <v>Wood Heater (MFH 80kW)_Oberdorf_B-LVL_MFH</v>
      </c>
      <c r="B360" t="s">
        <v>8</v>
      </c>
      <c r="C360" t="s">
        <v>151</v>
      </c>
      <c r="D360" t="s">
        <v>12</v>
      </c>
      <c r="E360" t="s">
        <v>11</v>
      </c>
      <c r="F360" s="3">
        <v>0</v>
      </c>
      <c r="I360">
        <v>0</v>
      </c>
      <c r="J360">
        <f t="shared" ref="J360" si="360">I360</f>
        <v>0</v>
      </c>
      <c r="K360" t="s">
        <v>12</v>
      </c>
    </row>
    <row r="361" spans="1:11" ht="225">
      <c r="A361" s="1" t="str">
        <f t="shared" si="321"/>
        <v>Wood Heater (MFH 80kW)_Oberdorf_B-LVL_MFH</v>
      </c>
      <c r="B361" t="s">
        <v>8</v>
      </c>
      <c r="C361" t="s">
        <v>151</v>
      </c>
      <c r="D361" t="s">
        <v>13</v>
      </c>
      <c r="E361" t="s">
        <v>11</v>
      </c>
      <c r="F361" s="3" t="s">
        <v>150</v>
      </c>
      <c r="I361">
        <v>152</v>
      </c>
      <c r="J361">
        <f t="shared" ref="J361" si="361">I359*I361</f>
        <v>10792</v>
      </c>
      <c r="K361" t="s">
        <v>13</v>
      </c>
    </row>
    <row r="362" spans="1:11">
      <c r="A362" s="1" t="str">
        <f t="shared" si="321"/>
        <v>Wood Heater (MFH 80kW)_Town_B-LVL_MFH</v>
      </c>
      <c r="B362" t="s">
        <v>8</v>
      </c>
      <c r="C362" t="s">
        <v>152</v>
      </c>
      <c r="D362" t="s">
        <v>10</v>
      </c>
      <c r="E362" t="s">
        <v>11</v>
      </c>
      <c r="F362" s="3">
        <v>537</v>
      </c>
      <c r="I362">
        <v>537</v>
      </c>
      <c r="J362">
        <f t="shared" ref="J362" si="362">I362/I362</f>
        <v>1</v>
      </c>
      <c r="K362" t="s">
        <v>10</v>
      </c>
    </row>
    <row r="363" spans="1:11">
      <c r="A363" s="1" t="str">
        <f t="shared" si="321"/>
        <v>Wood Heater (MFH 80kW)_Town_B-LVL_MFH</v>
      </c>
      <c r="B363" t="s">
        <v>8</v>
      </c>
      <c r="C363" t="s">
        <v>152</v>
      </c>
      <c r="D363" t="s">
        <v>12</v>
      </c>
      <c r="E363" t="s">
        <v>11</v>
      </c>
      <c r="F363" s="3">
        <v>0</v>
      </c>
      <c r="I363">
        <v>0</v>
      </c>
      <c r="J363">
        <f t="shared" ref="J363" si="363">I363</f>
        <v>0</v>
      </c>
      <c r="K363" t="s">
        <v>12</v>
      </c>
    </row>
    <row r="364" spans="1:11" ht="225">
      <c r="A364" s="1" t="str">
        <f t="shared" si="321"/>
        <v>Wood Heater (MFH 80kW)_Town_B-LVL_MFH</v>
      </c>
      <c r="B364" t="s">
        <v>8</v>
      </c>
      <c r="C364" t="s">
        <v>152</v>
      </c>
      <c r="D364" t="s">
        <v>13</v>
      </c>
      <c r="E364" t="s">
        <v>11</v>
      </c>
      <c r="F364" s="3" t="s">
        <v>150</v>
      </c>
      <c r="I364">
        <v>152</v>
      </c>
      <c r="J364">
        <f t="shared" ref="J364" si="364">I362*I364</f>
        <v>81624</v>
      </c>
      <c r="K364" t="s">
        <v>13</v>
      </c>
    </row>
    <row r="365" spans="1:11">
      <c r="A365" s="1" t="str">
        <f t="shared" si="321"/>
        <v>Wood Heater (SFH 17kW)_Anglikon_B-LVL_SFH</v>
      </c>
      <c r="B365" t="s">
        <v>8</v>
      </c>
      <c r="C365" t="s">
        <v>153</v>
      </c>
      <c r="D365" t="s">
        <v>10</v>
      </c>
      <c r="E365" t="s">
        <v>11</v>
      </c>
      <c r="F365" s="3">
        <v>279</v>
      </c>
      <c r="I365">
        <v>279</v>
      </c>
      <c r="J365">
        <f t="shared" ref="J365" si="365">I365/I365</f>
        <v>1</v>
      </c>
      <c r="K365" t="s">
        <v>10</v>
      </c>
    </row>
    <row r="366" spans="1:11">
      <c r="A366" s="1" t="str">
        <f t="shared" si="321"/>
        <v>Wood Heater (SFH 17kW)_Anglikon_B-LVL_SFH</v>
      </c>
      <c r="B366" t="s">
        <v>8</v>
      </c>
      <c r="C366" t="s">
        <v>153</v>
      </c>
      <c r="D366" t="s">
        <v>12</v>
      </c>
      <c r="E366" t="s">
        <v>11</v>
      </c>
      <c r="F366" s="3">
        <v>0</v>
      </c>
      <c r="I366">
        <v>0</v>
      </c>
      <c r="J366">
        <f t="shared" ref="J366" si="366">I366</f>
        <v>0</v>
      </c>
      <c r="K366" t="s">
        <v>12</v>
      </c>
    </row>
    <row r="367" spans="1:11" ht="180">
      <c r="A367" s="1" t="str">
        <f t="shared" si="321"/>
        <v>Wood Heater (SFH 17kW)_Anglikon_B-LVL_SFH</v>
      </c>
      <c r="B367" t="s">
        <v>8</v>
      </c>
      <c r="C367" t="s">
        <v>153</v>
      </c>
      <c r="D367" t="s">
        <v>13</v>
      </c>
      <c r="E367" t="s">
        <v>11</v>
      </c>
      <c r="F367" s="3" t="s">
        <v>154</v>
      </c>
      <c r="I367">
        <v>52.7</v>
      </c>
      <c r="J367">
        <f t="shared" ref="J367" si="367">I365*I367</f>
        <v>14703.300000000001</v>
      </c>
      <c r="K367" t="s">
        <v>13</v>
      </c>
    </row>
    <row r="368" spans="1:11">
      <c r="A368" s="1" t="str">
        <f t="shared" si="321"/>
        <v>Wood Heater (SFH 17kW)_Oberdorf_B-LVL_SFH</v>
      </c>
      <c r="B368" t="s">
        <v>8</v>
      </c>
      <c r="C368" t="s">
        <v>155</v>
      </c>
      <c r="D368" t="s">
        <v>10</v>
      </c>
      <c r="E368" t="s">
        <v>11</v>
      </c>
      <c r="F368" s="3">
        <v>530</v>
      </c>
      <c r="I368">
        <v>530</v>
      </c>
      <c r="J368">
        <f t="shared" ref="J368" si="368">I368/I368</f>
        <v>1</v>
      </c>
      <c r="K368" t="s">
        <v>10</v>
      </c>
    </row>
    <row r="369" spans="1:13">
      <c r="A369" s="1" t="str">
        <f t="shared" si="321"/>
        <v>Wood Heater (SFH 17kW)_Oberdorf_B-LVL_SFH</v>
      </c>
      <c r="B369" t="s">
        <v>8</v>
      </c>
      <c r="C369" t="s">
        <v>155</v>
      </c>
      <c r="D369" t="s">
        <v>12</v>
      </c>
      <c r="E369" t="s">
        <v>11</v>
      </c>
      <c r="F369" s="3">
        <v>0</v>
      </c>
      <c r="I369">
        <v>0</v>
      </c>
      <c r="J369">
        <f t="shared" ref="J369" si="369">I369</f>
        <v>0</v>
      </c>
      <c r="K369" t="s">
        <v>12</v>
      </c>
    </row>
    <row r="370" spans="1:13" ht="180">
      <c r="A370" s="1" t="str">
        <f t="shared" si="321"/>
        <v>Wood Heater (SFH 17kW)_Oberdorf_B-LVL_SFH</v>
      </c>
      <c r="B370" t="s">
        <v>8</v>
      </c>
      <c r="C370" t="s">
        <v>155</v>
      </c>
      <c r="D370" t="s">
        <v>13</v>
      </c>
      <c r="E370" t="s">
        <v>11</v>
      </c>
      <c r="F370" s="3" t="s">
        <v>154</v>
      </c>
      <c r="I370">
        <v>52.7</v>
      </c>
      <c r="J370">
        <f t="shared" ref="J370" si="370">I368*I370</f>
        <v>27931</v>
      </c>
      <c r="K370" t="s">
        <v>13</v>
      </c>
    </row>
    <row r="371" spans="1:13">
      <c r="A371" s="1" t="str">
        <f t="shared" si="321"/>
        <v>Wood Heater (SFH 17kW)_Town_B-LVL_SFH</v>
      </c>
      <c r="B371" t="s">
        <v>8</v>
      </c>
      <c r="C371" t="s">
        <v>156</v>
      </c>
      <c r="D371" t="s">
        <v>10</v>
      </c>
      <c r="E371" t="s">
        <v>11</v>
      </c>
      <c r="F371" s="3">
        <v>1714</v>
      </c>
      <c r="I371">
        <v>1714</v>
      </c>
      <c r="J371">
        <f t="shared" ref="J371" si="371">I371/I371</f>
        <v>1</v>
      </c>
      <c r="K371" t="s">
        <v>10</v>
      </c>
    </row>
    <row r="372" spans="1:13">
      <c r="A372" s="1" t="str">
        <f t="shared" si="321"/>
        <v>Wood Heater (SFH 17kW)_Town_B-LVL_SFH</v>
      </c>
      <c r="B372" t="s">
        <v>8</v>
      </c>
      <c r="C372" t="s">
        <v>156</v>
      </c>
      <c r="D372" t="s">
        <v>12</v>
      </c>
      <c r="E372" t="s">
        <v>11</v>
      </c>
      <c r="F372" s="3">
        <v>0</v>
      </c>
      <c r="I372">
        <v>0</v>
      </c>
      <c r="J372">
        <f t="shared" ref="J372" si="372">I372</f>
        <v>0</v>
      </c>
      <c r="K372" t="s">
        <v>12</v>
      </c>
    </row>
    <row r="373" spans="1:13" ht="180">
      <c r="A373" s="1" t="str">
        <f t="shared" si="321"/>
        <v>Wood Heater (SFH 17kW)_Town_B-LVL_SFH</v>
      </c>
      <c r="B373" t="s">
        <v>8</v>
      </c>
      <c r="C373" t="s">
        <v>156</v>
      </c>
      <c r="D373" t="s">
        <v>13</v>
      </c>
      <c r="E373" t="s">
        <v>11</v>
      </c>
      <c r="F373" s="3" t="s">
        <v>154</v>
      </c>
      <c r="I373">
        <v>52.7</v>
      </c>
      <c r="J373">
        <f t="shared" ref="J373" si="373">I371*I373</f>
        <v>90327.8</v>
      </c>
      <c r="K373" t="s">
        <v>13</v>
      </c>
    </row>
    <row r="374" spans="1:13">
      <c r="A374" s="1" t="str">
        <f t="shared" si="321"/>
        <v>Wood Pellet CHP (25 MW)_D-LVL_Anglikon</v>
      </c>
      <c r="B374" t="s">
        <v>8</v>
      </c>
      <c r="C374" t="s">
        <v>157</v>
      </c>
      <c r="D374" t="s">
        <v>10</v>
      </c>
      <c r="E374" t="s">
        <v>11</v>
      </c>
      <c r="F374" s="3">
        <v>10</v>
      </c>
      <c r="I374">
        <v>10</v>
      </c>
      <c r="J374">
        <f t="shared" ref="J374" si="374">I374/I374</f>
        <v>1</v>
      </c>
      <c r="K374" t="s">
        <v>10</v>
      </c>
    </row>
    <row r="375" spans="1:13">
      <c r="A375" s="1" t="str">
        <f t="shared" si="321"/>
        <v>Wood Pellet CHP (25 MW)_D-LVL_Anglikon</v>
      </c>
      <c r="B375" t="s">
        <v>8</v>
      </c>
      <c r="C375" t="s">
        <v>157</v>
      </c>
      <c r="D375" t="s">
        <v>12</v>
      </c>
      <c r="E375" t="s">
        <v>11</v>
      </c>
      <c r="F375" s="3">
        <v>0</v>
      </c>
      <c r="I375">
        <v>0</v>
      </c>
      <c r="J375">
        <f t="shared" ref="J375" si="375">I375</f>
        <v>0</v>
      </c>
      <c r="K375" t="s">
        <v>12</v>
      </c>
    </row>
    <row r="376" spans="1:13">
      <c r="A376" s="1" t="str">
        <f t="shared" si="321"/>
        <v>Wood Pellet CHP (25 MW)_D-LVL_Anglikon</v>
      </c>
      <c r="B376" t="s">
        <v>8</v>
      </c>
      <c r="C376" t="s">
        <v>157</v>
      </c>
      <c r="D376" t="s">
        <v>13</v>
      </c>
      <c r="E376" t="s">
        <v>11</v>
      </c>
      <c r="F376" s="3">
        <v>256060</v>
      </c>
      <c r="H376" t="s">
        <v>28</v>
      </c>
      <c r="I376">
        <f>256060 * 0.91</f>
        <v>233014.6</v>
      </c>
      <c r="J376">
        <f t="shared" ref="J376" si="376">I374*I376</f>
        <v>2330146</v>
      </c>
      <c r="K376" t="s">
        <v>13</v>
      </c>
    </row>
    <row r="377" spans="1:13">
      <c r="A377" s="1" t="str">
        <f t="shared" si="321"/>
        <v>Wood Pellet CHP (25 MW)_D-LVL_Oberdorf</v>
      </c>
      <c r="B377" t="s">
        <v>8</v>
      </c>
      <c r="C377" t="s">
        <v>158</v>
      </c>
      <c r="D377" t="s">
        <v>10</v>
      </c>
      <c r="E377" t="s">
        <v>11</v>
      </c>
      <c r="F377" s="3">
        <v>10</v>
      </c>
      <c r="I377">
        <v>10</v>
      </c>
      <c r="J377">
        <f t="shared" ref="J377" si="377">I377/I377</f>
        <v>1</v>
      </c>
      <c r="K377" t="s">
        <v>10</v>
      </c>
    </row>
    <row r="378" spans="1:13">
      <c r="A378" s="1" t="str">
        <f t="shared" si="321"/>
        <v>Wood Pellet CHP (25 MW)_D-LVL_Oberdorf</v>
      </c>
      <c r="B378" t="s">
        <v>8</v>
      </c>
      <c r="C378" t="s">
        <v>158</v>
      </c>
      <c r="D378" t="s">
        <v>12</v>
      </c>
      <c r="E378" t="s">
        <v>11</v>
      </c>
      <c r="F378" s="3">
        <v>0</v>
      </c>
      <c r="I378">
        <v>0</v>
      </c>
      <c r="J378">
        <f t="shared" ref="J378" si="378">I378</f>
        <v>0</v>
      </c>
      <c r="K378" t="s">
        <v>12</v>
      </c>
    </row>
    <row r="379" spans="1:13">
      <c r="A379" s="1" t="str">
        <f t="shared" si="321"/>
        <v>Wood Pellet CHP (25 MW)_D-LVL_Oberdorf</v>
      </c>
      <c r="B379" t="s">
        <v>8</v>
      </c>
      <c r="C379" t="s">
        <v>158</v>
      </c>
      <c r="D379" t="s">
        <v>13</v>
      </c>
      <c r="E379" t="s">
        <v>11</v>
      </c>
      <c r="F379" s="3">
        <v>256060</v>
      </c>
      <c r="H379" t="s">
        <v>28</v>
      </c>
      <c r="I379">
        <f>256060 * 0.91</f>
        <v>233014.6</v>
      </c>
      <c r="J379">
        <f t="shared" ref="J379" si="379">I377*I379</f>
        <v>2330146</v>
      </c>
      <c r="K379" t="s">
        <v>13</v>
      </c>
    </row>
    <row r="380" spans="1:13">
      <c r="A380" s="1" t="str">
        <f t="shared" si="321"/>
        <v>Wood Pellet CHP (25 MW)_D-LVL_Town</v>
      </c>
      <c r="B380" t="s">
        <v>8</v>
      </c>
      <c r="C380" t="s">
        <v>159</v>
      </c>
      <c r="D380" t="s">
        <v>10</v>
      </c>
      <c r="E380" t="s">
        <v>11</v>
      </c>
      <c r="F380" s="3">
        <v>10</v>
      </c>
      <c r="I380">
        <v>10</v>
      </c>
      <c r="J380">
        <f t="shared" ref="J380" si="380">I380/I380</f>
        <v>1</v>
      </c>
      <c r="K380" t="s">
        <v>10</v>
      </c>
    </row>
    <row r="381" spans="1:13">
      <c r="A381" s="1" t="str">
        <f t="shared" si="321"/>
        <v>Wood Pellet CHP (25 MW)_D-LVL_Town</v>
      </c>
      <c r="B381" t="s">
        <v>8</v>
      </c>
      <c r="C381" t="s">
        <v>159</v>
      </c>
      <c r="D381" t="s">
        <v>12</v>
      </c>
      <c r="E381" t="s">
        <v>11</v>
      </c>
      <c r="F381" s="3">
        <v>0</v>
      </c>
      <c r="I381">
        <v>0</v>
      </c>
      <c r="J381">
        <f t="shared" ref="J381" si="381">I381</f>
        <v>0</v>
      </c>
      <c r="K381" t="s">
        <v>12</v>
      </c>
    </row>
    <row r="382" spans="1:13">
      <c r="A382" s="1" t="str">
        <f t="shared" ref="A382" si="382">IFERROR(LEFT(C382, FIND(_xlfn.UNICHAR(448), C382) - 1), C382)</f>
        <v>Wood Pellet CHP (25 MW)_D-LVL_Town</v>
      </c>
      <c r="B382" t="s">
        <v>8</v>
      </c>
      <c r="C382" t="s">
        <v>159</v>
      </c>
      <c r="D382" t="s">
        <v>13</v>
      </c>
      <c r="E382" t="s">
        <v>11</v>
      </c>
      <c r="F382" s="3">
        <v>256060</v>
      </c>
      <c r="H382" t="s">
        <v>28</v>
      </c>
      <c r="I382">
        <f>256060 * 0.91</f>
        <v>233014.6</v>
      </c>
      <c r="J382">
        <f t="shared" ref="J382" si="383">I380*I382</f>
        <v>2330146</v>
      </c>
      <c r="K382" t="s">
        <v>13</v>
      </c>
    </row>
    <row r="383" spans="1:13">
      <c r="A383" s="1" t="str">
        <f>IFERROR(LEFT(C383, FIND(_xlfn.UNICHAR(448), C383) - 1), C383)</f>
        <v xml:space="preserve">H2 Cavern 150GWh_D-LVL_Anglikon </v>
      </c>
      <c r="B383" t="s">
        <v>160</v>
      </c>
      <c r="C383" t="s">
        <v>161</v>
      </c>
      <c r="D383" t="s">
        <v>162</v>
      </c>
      <c r="E383" t="s">
        <v>11</v>
      </c>
      <c r="F383" s="3">
        <v>175</v>
      </c>
      <c r="I383">
        <v>175</v>
      </c>
      <c r="J383">
        <f>I383*M383</f>
        <v>1750</v>
      </c>
      <c r="K383" t="s">
        <v>162</v>
      </c>
      <c r="M383" s="2">
        <v>10</v>
      </c>
    </row>
    <row r="384" spans="1:13">
      <c r="A384" s="1" t="str">
        <f t="shared" ref="A384:A447" si="384">IFERROR(LEFT(C384, FIND(_xlfn.UNICHAR(448), C384) - 1), C384)</f>
        <v xml:space="preserve">H2 Cavern 150GWh_D-LVL_Oberdorf </v>
      </c>
      <c r="B384" t="s">
        <v>160</v>
      </c>
      <c r="C384" t="s">
        <v>163</v>
      </c>
      <c r="D384" t="s">
        <v>162</v>
      </c>
      <c r="E384" t="s">
        <v>11</v>
      </c>
      <c r="F384" s="3">
        <v>175</v>
      </c>
      <c r="I384">
        <v>175</v>
      </c>
      <c r="J384">
        <f t="shared" ref="J384:J447" si="385">I384*M384</f>
        <v>1750</v>
      </c>
      <c r="K384" t="s">
        <v>162</v>
      </c>
      <c r="M384" s="2">
        <v>10</v>
      </c>
    </row>
    <row r="385" spans="1:13">
      <c r="A385" s="1" t="str">
        <f t="shared" si="384"/>
        <v xml:space="preserve">H2 Cavern 150GWh_D-LVL_Town </v>
      </c>
      <c r="B385" t="s">
        <v>160</v>
      </c>
      <c r="C385" t="s">
        <v>164</v>
      </c>
      <c r="D385" t="s">
        <v>162</v>
      </c>
      <c r="E385" t="s">
        <v>11</v>
      </c>
      <c r="F385" s="3">
        <v>175</v>
      </c>
      <c r="I385">
        <v>175</v>
      </c>
      <c r="J385">
        <f t="shared" si="385"/>
        <v>1750</v>
      </c>
      <c r="K385" t="s">
        <v>162</v>
      </c>
      <c r="M385" s="2">
        <v>10</v>
      </c>
    </row>
    <row r="386" spans="1:13">
      <c r="A386" s="1" t="str">
        <f t="shared" si="384"/>
        <v xml:space="preserve">H2 Heater (MFH 80kW)_Anglikon_B-LVL_MFH </v>
      </c>
      <c r="B386" t="s">
        <v>160</v>
      </c>
      <c r="C386" t="s">
        <v>165</v>
      </c>
      <c r="D386" t="s">
        <v>162</v>
      </c>
      <c r="E386" t="s">
        <v>11</v>
      </c>
      <c r="F386" s="3">
        <v>0.08</v>
      </c>
      <c r="I386">
        <v>0.08</v>
      </c>
      <c r="J386">
        <f t="shared" si="385"/>
        <v>3.52</v>
      </c>
      <c r="K386" t="s">
        <v>162</v>
      </c>
      <c r="M386" s="2">
        <v>44</v>
      </c>
    </row>
    <row r="387" spans="1:13">
      <c r="A387" s="1" t="str">
        <f t="shared" si="384"/>
        <v xml:space="preserve">H2 Heater (MFH 80kW)_Oberdorf_B-LVL_MFH </v>
      </c>
      <c r="B387" t="s">
        <v>160</v>
      </c>
      <c r="C387" t="s">
        <v>166</v>
      </c>
      <c r="D387" t="s">
        <v>162</v>
      </c>
      <c r="E387" t="s">
        <v>11</v>
      </c>
      <c r="F387" s="3">
        <v>0.08</v>
      </c>
      <c r="I387">
        <v>0.08</v>
      </c>
      <c r="J387">
        <f t="shared" si="385"/>
        <v>5.68</v>
      </c>
      <c r="K387" t="s">
        <v>162</v>
      </c>
      <c r="M387" s="2">
        <v>71</v>
      </c>
    </row>
    <row r="388" spans="1:13">
      <c r="A388" s="1" t="str">
        <f t="shared" si="384"/>
        <v xml:space="preserve">H2 Heater (MFH 80kW)_Town_B-LVL_MFH </v>
      </c>
      <c r="B388" t="s">
        <v>160</v>
      </c>
      <c r="C388" t="s">
        <v>167</v>
      </c>
      <c r="D388" t="s">
        <v>162</v>
      </c>
      <c r="E388" t="s">
        <v>11</v>
      </c>
      <c r="F388" s="3">
        <v>0.08</v>
      </c>
      <c r="I388">
        <v>0.08</v>
      </c>
      <c r="J388">
        <f t="shared" si="385"/>
        <v>42.96</v>
      </c>
      <c r="K388" t="s">
        <v>162</v>
      </c>
      <c r="M388" s="2">
        <v>537</v>
      </c>
    </row>
    <row r="389" spans="1:13">
      <c r="A389" s="1" t="str">
        <f t="shared" si="384"/>
        <v xml:space="preserve">H2 Heater (SFH 17kW)_Anglikon_B-LVL_SFH </v>
      </c>
      <c r="B389" t="s">
        <v>160</v>
      </c>
      <c r="C389" t="s">
        <v>168</v>
      </c>
      <c r="D389" t="s">
        <v>162</v>
      </c>
      <c r="E389" t="s">
        <v>11</v>
      </c>
      <c r="F389" s="3">
        <v>1.7000000000000001E-2</v>
      </c>
      <c r="I389">
        <v>1.7000000000000001E-2</v>
      </c>
      <c r="J389">
        <f t="shared" si="385"/>
        <v>4.7430000000000003</v>
      </c>
      <c r="K389" t="s">
        <v>162</v>
      </c>
      <c r="M389" s="2">
        <v>279</v>
      </c>
    </row>
    <row r="390" spans="1:13">
      <c r="A390" s="1" t="str">
        <f t="shared" si="384"/>
        <v xml:space="preserve">H2 Heater (SFH 17kW)_Oberdorf_B-LVL_SFH </v>
      </c>
      <c r="B390" t="s">
        <v>160</v>
      </c>
      <c r="C390" t="s">
        <v>169</v>
      </c>
      <c r="D390" t="s">
        <v>162</v>
      </c>
      <c r="E390" t="s">
        <v>11</v>
      </c>
      <c r="F390" s="3">
        <v>1.7000000000000001E-2</v>
      </c>
      <c r="I390">
        <v>1.7000000000000001E-2</v>
      </c>
      <c r="J390">
        <f t="shared" si="385"/>
        <v>9.01</v>
      </c>
      <c r="K390" t="s">
        <v>162</v>
      </c>
      <c r="M390" s="2">
        <v>530</v>
      </c>
    </row>
    <row r="391" spans="1:13">
      <c r="A391" s="1" t="str">
        <f t="shared" si="384"/>
        <v xml:space="preserve">H2 Heater (SFH 17kW)_Town_B-LVL_SFH </v>
      </c>
      <c r="B391" t="s">
        <v>160</v>
      </c>
      <c r="C391" t="s">
        <v>170</v>
      </c>
      <c r="D391" t="s">
        <v>162</v>
      </c>
      <c r="E391" t="s">
        <v>11</v>
      </c>
      <c r="F391" s="3">
        <v>1.7000000000000001E-2</v>
      </c>
      <c r="I391">
        <v>1.7000000000000001E-2</v>
      </c>
      <c r="J391">
        <f t="shared" si="385"/>
        <v>29.138000000000002</v>
      </c>
      <c r="K391" t="s">
        <v>162</v>
      </c>
      <c r="M391" s="2">
        <v>1714</v>
      </c>
    </row>
    <row r="392" spans="1:13" ht="180">
      <c r="A392" s="1" t="str">
        <f t="shared" si="384"/>
        <v xml:space="preserve">H2 LOHC 7MWh_Anglikon_B-LVL_MFH </v>
      </c>
      <c r="B392" t="s">
        <v>160</v>
      </c>
      <c r="C392" t="s">
        <v>171</v>
      </c>
      <c r="D392" t="s">
        <v>162</v>
      </c>
      <c r="E392" t="s">
        <v>11</v>
      </c>
      <c r="F392" s="3" t="s">
        <v>172</v>
      </c>
      <c r="I392">
        <v>70</v>
      </c>
      <c r="J392">
        <f t="shared" si="385"/>
        <v>3080</v>
      </c>
      <c r="K392" t="s">
        <v>162</v>
      </c>
      <c r="M392" s="2">
        <v>44</v>
      </c>
    </row>
    <row r="393" spans="1:13" ht="180">
      <c r="A393" s="1" t="str">
        <f t="shared" si="384"/>
        <v xml:space="preserve">H2 LOHC 7MWh_Anglikon_B-LVL_SFH </v>
      </c>
      <c r="B393" t="s">
        <v>160</v>
      </c>
      <c r="C393" t="s">
        <v>173</v>
      </c>
      <c r="D393" t="s">
        <v>162</v>
      </c>
      <c r="E393" t="s">
        <v>11</v>
      </c>
      <c r="F393" s="3" t="s">
        <v>172</v>
      </c>
      <c r="I393">
        <v>70</v>
      </c>
      <c r="J393">
        <f t="shared" si="385"/>
        <v>19530</v>
      </c>
      <c r="K393" t="s">
        <v>162</v>
      </c>
      <c r="M393" s="2">
        <v>279</v>
      </c>
    </row>
    <row r="394" spans="1:13" ht="180">
      <c r="A394" s="1" t="str">
        <f t="shared" si="384"/>
        <v xml:space="preserve">H2 LOHC 7MWh_Oberdorf_B-LVL_MFH </v>
      </c>
      <c r="B394" t="s">
        <v>160</v>
      </c>
      <c r="C394" t="s">
        <v>174</v>
      </c>
      <c r="D394" t="s">
        <v>162</v>
      </c>
      <c r="E394" t="s">
        <v>11</v>
      </c>
      <c r="F394" s="3" t="s">
        <v>172</v>
      </c>
      <c r="I394">
        <v>70</v>
      </c>
      <c r="J394">
        <f t="shared" si="385"/>
        <v>4970</v>
      </c>
      <c r="K394" t="s">
        <v>162</v>
      </c>
      <c r="M394" s="2">
        <v>71</v>
      </c>
    </row>
    <row r="395" spans="1:13" ht="180">
      <c r="A395" s="1" t="str">
        <f t="shared" si="384"/>
        <v xml:space="preserve">H2 LOHC 7MWh_Oberdorf_B-LVL_SFH </v>
      </c>
      <c r="B395" t="s">
        <v>160</v>
      </c>
      <c r="C395" t="s">
        <v>175</v>
      </c>
      <c r="D395" t="s">
        <v>162</v>
      </c>
      <c r="E395" t="s">
        <v>11</v>
      </c>
      <c r="F395" s="3" t="s">
        <v>172</v>
      </c>
      <c r="I395">
        <v>70</v>
      </c>
      <c r="J395">
        <f t="shared" si="385"/>
        <v>37100</v>
      </c>
      <c r="K395" t="s">
        <v>162</v>
      </c>
      <c r="M395" s="2">
        <v>530</v>
      </c>
    </row>
    <row r="396" spans="1:13" ht="180">
      <c r="A396" s="1" t="str">
        <f t="shared" si="384"/>
        <v xml:space="preserve">H2 LOHC 7MWh_Town_B-LVL_MFH </v>
      </c>
      <c r="B396" t="s">
        <v>160</v>
      </c>
      <c r="C396" t="s">
        <v>176</v>
      </c>
      <c r="D396" t="s">
        <v>162</v>
      </c>
      <c r="E396" t="s">
        <v>11</v>
      </c>
      <c r="F396" s="3" t="s">
        <v>172</v>
      </c>
      <c r="I396">
        <v>70</v>
      </c>
      <c r="J396">
        <f t="shared" si="385"/>
        <v>37590</v>
      </c>
      <c r="K396" t="s">
        <v>162</v>
      </c>
      <c r="M396" s="2">
        <v>537</v>
      </c>
    </row>
    <row r="397" spans="1:13" ht="180">
      <c r="A397" s="1" t="str">
        <f t="shared" si="384"/>
        <v xml:space="preserve">H2 LOHC 7MWh_Town_B-LVL_SFH </v>
      </c>
      <c r="B397" t="s">
        <v>160</v>
      </c>
      <c r="C397" t="s">
        <v>177</v>
      </c>
      <c r="D397" t="s">
        <v>162</v>
      </c>
      <c r="E397" t="s">
        <v>11</v>
      </c>
      <c r="F397" s="3" t="s">
        <v>172</v>
      </c>
      <c r="I397">
        <v>70</v>
      </c>
      <c r="J397">
        <f t="shared" si="385"/>
        <v>119980</v>
      </c>
      <c r="K397" t="s">
        <v>162</v>
      </c>
      <c r="M397" s="2">
        <v>1714</v>
      </c>
    </row>
    <row r="398" spans="1:13">
      <c r="A398" s="1" t="str">
        <f t="shared" si="384"/>
        <v xml:space="preserve">H2 Tank 16.7MWh_D-LVL_Anglikon </v>
      </c>
      <c r="B398" t="s">
        <v>160</v>
      </c>
      <c r="C398" t="s">
        <v>178</v>
      </c>
      <c r="D398" t="s">
        <v>162</v>
      </c>
      <c r="E398" t="s">
        <v>11</v>
      </c>
      <c r="F398" s="3">
        <v>9.5000000000000001E-2</v>
      </c>
      <c r="I398">
        <v>9.5000000000000001E-2</v>
      </c>
      <c r="J398">
        <f t="shared" si="385"/>
        <v>0.95</v>
      </c>
      <c r="K398" t="s">
        <v>162</v>
      </c>
      <c r="M398" s="2">
        <v>10</v>
      </c>
    </row>
    <row r="399" spans="1:13">
      <c r="A399" s="1" t="str">
        <f t="shared" si="384"/>
        <v xml:space="preserve">H2 Tank 16.7MWh_D-LVL_Oberdorf </v>
      </c>
      <c r="B399" t="s">
        <v>160</v>
      </c>
      <c r="C399" t="s">
        <v>179</v>
      </c>
      <c r="D399" t="s">
        <v>162</v>
      </c>
      <c r="E399" t="s">
        <v>11</v>
      </c>
      <c r="F399" s="3">
        <v>9.5000000000000001E-2</v>
      </c>
      <c r="I399">
        <v>9.5000000000000001E-2</v>
      </c>
      <c r="J399">
        <f t="shared" si="385"/>
        <v>0.95</v>
      </c>
      <c r="K399" t="s">
        <v>162</v>
      </c>
      <c r="M399" s="2">
        <v>10</v>
      </c>
    </row>
    <row r="400" spans="1:13">
      <c r="A400" s="1" t="str">
        <f t="shared" si="384"/>
        <v xml:space="preserve">H2 Tank 16.7MWh_D-LVL_Town </v>
      </c>
      <c r="B400" t="s">
        <v>160</v>
      </c>
      <c r="C400" t="s">
        <v>180</v>
      </c>
      <c r="D400" t="s">
        <v>162</v>
      </c>
      <c r="E400" t="s">
        <v>11</v>
      </c>
      <c r="F400" s="3">
        <v>9.5000000000000001E-2</v>
      </c>
      <c r="I400">
        <v>9.5000000000000001E-2</v>
      </c>
      <c r="J400">
        <f t="shared" si="385"/>
        <v>0.95</v>
      </c>
      <c r="K400" t="s">
        <v>162</v>
      </c>
      <c r="M400" s="2">
        <v>10</v>
      </c>
    </row>
    <row r="401" spans="1:13">
      <c r="A401" s="1" t="str">
        <f t="shared" si="384"/>
        <v xml:space="preserve">H2-Alkaline Electrolyzer 2MW_Anglikon_B-LVL_MFH </v>
      </c>
      <c r="B401" t="s">
        <v>160</v>
      </c>
      <c r="C401" t="s">
        <v>181</v>
      </c>
      <c r="D401" t="s">
        <v>162</v>
      </c>
      <c r="E401" t="s">
        <v>11</v>
      </c>
      <c r="F401" s="3">
        <v>2</v>
      </c>
      <c r="I401">
        <v>2</v>
      </c>
      <c r="J401">
        <f t="shared" si="385"/>
        <v>88</v>
      </c>
      <c r="K401" t="s">
        <v>162</v>
      </c>
      <c r="M401" s="2">
        <v>44</v>
      </c>
    </row>
    <row r="402" spans="1:13">
      <c r="A402" s="1" t="str">
        <f t="shared" si="384"/>
        <v xml:space="preserve">H2-Alkaline Electrolyzer 2MW_Oberdorf_B-LVL_MFH </v>
      </c>
      <c r="B402" t="s">
        <v>160</v>
      </c>
      <c r="C402" t="s">
        <v>182</v>
      </c>
      <c r="D402" t="s">
        <v>162</v>
      </c>
      <c r="E402" t="s">
        <v>11</v>
      </c>
      <c r="F402" s="3">
        <v>2</v>
      </c>
      <c r="I402">
        <v>2</v>
      </c>
      <c r="J402">
        <f t="shared" si="385"/>
        <v>142</v>
      </c>
      <c r="K402" t="s">
        <v>162</v>
      </c>
      <c r="M402" s="2">
        <v>71</v>
      </c>
    </row>
    <row r="403" spans="1:13">
      <c r="A403" s="1" t="str">
        <f t="shared" si="384"/>
        <v xml:space="preserve">H2-Alkaline Electrolyzer 2MW_Town_B-LVL_MFH </v>
      </c>
      <c r="B403" t="s">
        <v>160</v>
      </c>
      <c r="C403" t="s">
        <v>183</v>
      </c>
      <c r="D403" t="s">
        <v>162</v>
      </c>
      <c r="E403" t="s">
        <v>11</v>
      </c>
      <c r="F403" s="3">
        <v>2</v>
      </c>
      <c r="I403">
        <v>2</v>
      </c>
      <c r="J403">
        <f t="shared" si="385"/>
        <v>1074</v>
      </c>
      <c r="K403" t="s">
        <v>162</v>
      </c>
      <c r="M403" s="2">
        <v>537</v>
      </c>
    </row>
    <row r="404" spans="1:13">
      <c r="A404" s="1" t="str">
        <f t="shared" si="384"/>
        <v xml:space="preserve">H2-Alkaline Electrolyzer 100MW_D-LVL_Anglikon </v>
      </c>
      <c r="B404" t="s">
        <v>160</v>
      </c>
      <c r="C404" t="s">
        <v>184</v>
      </c>
      <c r="D404" t="s">
        <v>162</v>
      </c>
      <c r="E404" t="s">
        <v>11</v>
      </c>
      <c r="F404" s="3">
        <v>100</v>
      </c>
      <c r="I404">
        <v>100</v>
      </c>
      <c r="J404">
        <f t="shared" si="385"/>
        <v>500</v>
      </c>
      <c r="K404" t="s">
        <v>162</v>
      </c>
      <c r="M404" s="2">
        <v>5</v>
      </c>
    </row>
    <row r="405" spans="1:13">
      <c r="A405" s="1" t="str">
        <f t="shared" si="384"/>
        <v xml:space="preserve">H2-Alkaline Electrolyzer 100MW_D-LVL_Oberdorf </v>
      </c>
      <c r="B405" t="s">
        <v>160</v>
      </c>
      <c r="C405" t="s">
        <v>185</v>
      </c>
      <c r="D405" t="s">
        <v>162</v>
      </c>
      <c r="E405" t="s">
        <v>11</v>
      </c>
      <c r="F405" s="3">
        <v>100</v>
      </c>
      <c r="I405">
        <v>100</v>
      </c>
      <c r="J405">
        <f t="shared" si="385"/>
        <v>500</v>
      </c>
      <c r="K405" t="s">
        <v>162</v>
      </c>
      <c r="M405" s="2">
        <v>5</v>
      </c>
    </row>
    <row r="406" spans="1:13">
      <c r="A406" s="1" t="str">
        <f t="shared" si="384"/>
        <v xml:space="preserve">H2-Alkaline Electrolyzer 100MW_D-LVL_Town </v>
      </c>
      <c r="B406" t="s">
        <v>160</v>
      </c>
      <c r="C406" t="s">
        <v>186</v>
      </c>
      <c r="D406" t="s">
        <v>162</v>
      </c>
      <c r="E406" t="s">
        <v>11</v>
      </c>
      <c r="F406" s="3">
        <v>100</v>
      </c>
      <c r="I406">
        <v>100</v>
      </c>
      <c r="J406">
        <f t="shared" si="385"/>
        <v>500</v>
      </c>
      <c r="K406" t="s">
        <v>162</v>
      </c>
      <c r="M406" s="2">
        <v>5</v>
      </c>
    </row>
    <row r="407" spans="1:13">
      <c r="A407" s="1" t="str">
        <f t="shared" si="384"/>
        <v xml:space="preserve">H2-PEM Electrolyzer 1.2MW_Anglikon_B-LVL_MFH </v>
      </c>
      <c r="B407" t="s">
        <v>160</v>
      </c>
      <c r="C407" t="s">
        <v>187</v>
      </c>
      <c r="D407" t="s">
        <v>162</v>
      </c>
      <c r="E407" t="s">
        <v>11</v>
      </c>
      <c r="F407" s="3">
        <v>1.2</v>
      </c>
      <c r="I407">
        <v>1.2</v>
      </c>
      <c r="J407">
        <f t="shared" si="385"/>
        <v>52.8</v>
      </c>
      <c r="K407" t="s">
        <v>162</v>
      </c>
      <c r="M407" s="2">
        <v>44</v>
      </c>
    </row>
    <row r="408" spans="1:13">
      <c r="A408" s="1" t="str">
        <f t="shared" si="384"/>
        <v xml:space="preserve">H2-PEM Electrolyzer 1.2MW_Oberdorf_B-LVL_MFH </v>
      </c>
      <c r="B408" t="s">
        <v>160</v>
      </c>
      <c r="C408" t="s">
        <v>188</v>
      </c>
      <c r="D408" t="s">
        <v>162</v>
      </c>
      <c r="E408" t="s">
        <v>11</v>
      </c>
      <c r="F408" s="3">
        <v>1.2</v>
      </c>
      <c r="I408">
        <v>1.2</v>
      </c>
      <c r="J408">
        <f t="shared" si="385"/>
        <v>85.2</v>
      </c>
      <c r="K408" t="s">
        <v>162</v>
      </c>
      <c r="M408" s="2">
        <v>71</v>
      </c>
    </row>
    <row r="409" spans="1:13">
      <c r="A409" s="1" t="str">
        <f t="shared" si="384"/>
        <v xml:space="preserve">H2-PEM Electrolyzer 1.2MW_Town_B-LVL_MFH </v>
      </c>
      <c r="B409" t="s">
        <v>160</v>
      </c>
      <c r="C409" t="s">
        <v>189</v>
      </c>
      <c r="D409" t="s">
        <v>162</v>
      </c>
      <c r="E409" t="s">
        <v>11</v>
      </c>
      <c r="F409" s="3">
        <v>1.2</v>
      </c>
      <c r="I409">
        <v>1.2</v>
      </c>
      <c r="J409">
        <f t="shared" si="385"/>
        <v>644.4</v>
      </c>
      <c r="K409" t="s">
        <v>162</v>
      </c>
      <c r="M409" s="2">
        <v>537</v>
      </c>
    </row>
    <row r="410" spans="1:13">
      <c r="A410" s="1" t="str">
        <f t="shared" si="384"/>
        <v xml:space="preserve">H2-SO Electrolyzer 1MW_Anglikon_B-LVL_MFH </v>
      </c>
      <c r="B410" t="s">
        <v>160</v>
      </c>
      <c r="C410" t="s">
        <v>190</v>
      </c>
      <c r="D410" t="s">
        <v>162</v>
      </c>
      <c r="E410" t="s">
        <v>11</v>
      </c>
      <c r="F410" s="3">
        <v>1</v>
      </c>
      <c r="I410">
        <v>1</v>
      </c>
      <c r="J410">
        <f t="shared" si="385"/>
        <v>44</v>
      </c>
      <c r="K410" t="s">
        <v>162</v>
      </c>
      <c r="M410" s="2">
        <v>44</v>
      </c>
    </row>
    <row r="411" spans="1:13">
      <c r="A411" s="1" t="str">
        <f t="shared" si="384"/>
        <v xml:space="preserve">H2-SO Electrolyzer 1MW_Oberdorf_B-LVL_MFH </v>
      </c>
      <c r="B411" t="s">
        <v>160</v>
      </c>
      <c r="C411" t="s">
        <v>191</v>
      </c>
      <c r="D411" t="s">
        <v>162</v>
      </c>
      <c r="E411" t="s">
        <v>11</v>
      </c>
      <c r="F411" s="3">
        <v>1</v>
      </c>
      <c r="I411">
        <v>1</v>
      </c>
      <c r="J411">
        <f t="shared" si="385"/>
        <v>71</v>
      </c>
      <c r="K411" t="s">
        <v>162</v>
      </c>
      <c r="M411" s="2">
        <v>71</v>
      </c>
    </row>
    <row r="412" spans="1:13">
      <c r="A412" s="1" t="str">
        <f t="shared" si="384"/>
        <v xml:space="preserve">H2-SO Electrolyzer 1MW_Town_B-LVL_MFH </v>
      </c>
      <c r="B412" t="s">
        <v>160</v>
      </c>
      <c r="C412" t="s">
        <v>192</v>
      </c>
      <c r="D412" t="s">
        <v>162</v>
      </c>
      <c r="E412" t="s">
        <v>11</v>
      </c>
      <c r="F412" s="3">
        <v>1</v>
      </c>
      <c r="I412">
        <v>1</v>
      </c>
      <c r="J412">
        <f t="shared" si="385"/>
        <v>537</v>
      </c>
      <c r="K412" t="s">
        <v>162</v>
      </c>
      <c r="M412" s="2">
        <v>537</v>
      </c>
    </row>
    <row r="413" spans="1:13" ht="180">
      <c r="A413" s="1" t="str">
        <f t="shared" si="384"/>
        <v xml:space="preserve">Hot Water Tank (3kWh)_Anglikon_B-LVL_MFH </v>
      </c>
      <c r="B413" t="s">
        <v>160</v>
      </c>
      <c r="C413" t="s">
        <v>193</v>
      </c>
      <c r="D413" t="s">
        <v>162</v>
      </c>
      <c r="E413" t="s">
        <v>11</v>
      </c>
      <c r="F413" s="3" t="s">
        <v>194</v>
      </c>
      <c r="I413">
        <v>0.02</v>
      </c>
      <c r="J413">
        <f t="shared" si="385"/>
        <v>0.88</v>
      </c>
      <c r="K413" t="s">
        <v>162</v>
      </c>
      <c r="M413" s="2">
        <v>44</v>
      </c>
    </row>
    <row r="414" spans="1:13" ht="180">
      <c r="A414" s="1" t="str">
        <f t="shared" si="384"/>
        <v xml:space="preserve">Hot Water Tank (3kWh)_Anglikon_B-LVL_SFH </v>
      </c>
      <c r="B414" t="s">
        <v>160</v>
      </c>
      <c r="C414" t="s">
        <v>195</v>
      </c>
      <c r="D414" t="s">
        <v>162</v>
      </c>
      <c r="E414" t="s">
        <v>11</v>
      </c>
      <c r="F414" s="3" t="s">
        <v>194</v>
      </c>
      <c r="I414">
        <v>0.02</v>
      </c>
      <c r="J414">
        <f t="shared" si="385"/>
        <v>5.58</v>
      </c>
      <c r="K414" t="s">
        <v>162</v>
      </c>
      <c r="M414" s="2">
        <v>279</v>
      </c>
    </row>
    <row r="415" spans="1:13" ht="180">
      <c r="A415" s="1" t="str">
        <f t="shared" si="384"/>
        <v xml:space="preserve">Hot Water Tank (3kWh)_Oberdorf_B-LVL_MFH </v>
      </c>
      <c r="B415" t="s">
        <v>160</v>
      </c>
      <c r="C415" t="s">
        <v>196</v>
      </c>
      <c r="D415" t="s">
        <v>162</v>
      </c>
      <c r="E415" t="s">
        <v>11</v>
      </c>
      <c r="F415" s="3" t="s">
        <v>194</v>
      </c>
      <c r="I415">
        <v>0.02</v>
      </c>
      <c r="J415">
        <f t="shared" si="385"/>
        <v>1.42</v>
      </c>
      <c r="K415" t="s">
        <v>162</v>
      </c>
      <c r="M415" s="2">
        <v>71</v>
      </c>
    </row>
    <row r="416" spans="1:13" ht="180">
      <c r="A416" s="1" t="str">
        <f t="shared" si="384"/>
        <v xml:space="preserve">Hot Water Tank (3kWh)_Oberdorf_B-LVL_SFH </v>
      </c>
      <c r="B416" t="s">
        <v>160</v>
      </c>
      <c r="C416" t="s">
        <v>197</v>
      </c>
      <c r="D416" t="s">
        <v>162</v>
      </c>
      <c r="E416" t="s">
        <v>11</v>
      </c>
      <c r="F416" s="3" t="s">
        <v>194</v>
      </c>
      <c r="I416">
        <v>0.02</v>
      </c>
      <c r="J416">
        <f t="shared" si="385"/>
        <v>10.6</v>
      </c>
      <c r="K416" t="s">
        <v>162</v>
      </c>
      <c r="M416" s="2">
        <v>530</v>
      </c>
    </row>
    <row r="417" spans="1:13" ht="180">
      <c r="A417" s="1" t="str">
        <f t="shared" si="384"/>
        <v xml:space="preserve">Hot Water Tank (3kWh)_Town_B-LVL_MFH </v>
      </c>
      <c r="B417" t="s">
        <v>160</v>
      </c>
      <c r="C417" t="s">
        <v>198</v>
      </c>
      <c r="D417" t="s">
        <v>162</v>
      </c>
      <c r="E417" t="s">
        <v>11</v>
      </c>
      <c r="F417" s="3" t="s">
        <v>194</v>
      </c>
      <c r="I417">
        <v>0.02</v>
      </c>
      <c r="J417">
        <f t="shared" si="385"/>
        <v>10.74</v>
      </c>
      <c r="K417" t="s">
        <v>162</v>
      </c>
      <c r="M417" s="2">
        <v>537</v>
      </c>
    </row>
    <row r="418" spans="1:13" ht="180">
      <c r="A418" s="1" t="str">
        <f t="shared" si="384"/>
        <v xml:space="preserve">Hot Water Tank (3kWh)_Town_B-LVL_SFH </v>
      </c>
      <c r="B418" t="s">
        <v>160</v>
      </c>
      <c r="C418" t="s">
        <v>199</v>
      </c>
      <c r="D418" t="s">
        <v>162</v>
      </c>
      <c r="E418" t="s">
        <v>11</v>
      </c>
      <c r="F418" s="3" t="s">
        <v>194</v>
      </c>
      <c r="I418">
        <v>0.02</v>
      </c>
      <c r="J418">
        <f t="shared" si="385"/>
        <v>34.28</v>
      </c>
      <c r="K418" t="s">
        <v>162</v>
      </c>
      <c r="M418" s="2">
        <v>1714</v>
      </c>
    </row>
    <row r="419" spans="1:13">
      <c r="A419" s="1" t="str">
        <f t="shared" si="384"/>
        <v xml:space="preserve">Hot Water Tank (175MWh)_D-LVL_Anglikon </v>
      </c>
      <c r="B419" t="s">
        <v>160</v>
      </c>
      <c r="C419" t="s">
        <v>200</v>
      </c>
      <c r="D419" t="s">
        <v>162</v>
      </c>
      <c r="E419" t="s">
        <v>11</v>
      </c>
      <c r="F419" s="3">
        <v>2.9</v>
      </c>
      <c r="I419">
        <v>2.9</v>
      </c>
      <c r="J419">
        <f t="shared" si="385"/>
        <v>29</v>
      </c>
      <c r="K419" t="s">
        <v>162</v>
      </c>
      <c r="M419" s="2">
        <v>10</v>
      </c>
    </row>
    <row r="420" spans="1:13">
      <c r="A420" s="1" t="str">
        <f t="shared" si="384"/>
        <v xml:space="preserve">Hot Water Tank (175MWh)_D-LVL_Oberdorf </v>
      </c>
      <c r="B420" t="s">
        <v>160</v>
      </c>
      <c r="C420" t="s">
        <v>201</v>
      </c>
      <c r="D420" t="s">
        <v>162</v>
      </c>
      <c r="E420" t="s">
        <v>11</v>
      </c>
      <c r="F420" s="3">
        <v>2.9</v>
      </c>
      <c r="I420">
        <v>2.9</v>
      </c>
      <c r="J420">
        <f t="shared" si="385"/>
        <v>29</v>
      </c>
      <c r="K420" t="s">
        <v>162</v>
      </c>
      <c r="M420" s="2">
        <v>10</v>
      </c>
    </row>
    <row r="421" spans="1:13">
      <c r="A421" s="1" t="str">
        <f t="shared" si="384"/>
        <v xml:space="preserve">Hot Water Tank (175MWh)_D-LVL_Town </v>
      </c>
      <c r="B421" t="s">
        <v>160</v>
      </c>
      <c r="C421" t="s">
        <v>202</v>
      </c>
      <c r="D421" t="s">
        <v>162</v>
      </c>
      <c r="E421" t="s">
        <v>11</v>
      </c>
      <c r="F421" s="3">
        <v>2.9</v>
      </c>
      <c r="I421">
        <v>2.9</v>
      </c>
      <c r="J421">
        <f t="shared" si="385"/>
        <v>29</v>
      </c>
      <c r="K421" t="s">
        <v>162</v>
      </c>
      <c r="M421" s="2">
        <v>10</v>
      </c>
    </row>
    <row r="422" spans="1:13" ht="180">
      <c r="A422" s="1" t="str">
        <f t="shared" si="384"/>
        <v xml:space="preserve">Li-ion Battery 8MWh_D-LVL_Anglikon </v>
      </c>
      <c r="B422" t="s">
        <v>160</v>
      </c>
      <c r="C422" t="s">
        <v>203</v>
      </c>
      <c r="D422" t="s">
        <v>162</v>
      </c>
      <c r="E422" t="s">
        <v>11</v>
      </c>
      <c r="F422" s="3" t="s">
        <v>204</v>
      </c>
      <c r="I422">
        <v>4</v>
      </c>
      <c r="J422">
        <f t="shared" si="385"/>
        <v>200</v>
      </c>
      <c r="K422" t="s">
        <v>162</v>
      </c>
      <c r="M422" s="2">
        <v>50</v>
      </c>
    </row>
    <row r="423" spans="1:13" ht="180">
      <c r="A423" s="1" t="str">
        <f t="shared" si="384"/>
        <v xml:space="preserve">Li-ion Battery 8MWh_D-LVL_Oberdorf </v>
      </c>
      <c r="B423" t="s">
        <v>160</v>
      </c>
      <c r="C423" t="s">
        <v>205</v>
      </c>
      <c r="D423" t="s">
        <v>162</v>
      </c>
      <c r="E423" t="s">
        <v>11</v>
      </c>
      <c r="F423" s="3" t="s">
        <v>204</v>
      </c>
      <c r="I423">
        <v>4</v>
      </c>
      <c r="J423">
        <f t="shared" si="385"/>
        <v>200</v>
      </c>
      <c r="K423" t="s">
        <v>162</v>
      </c>
      <c r="M423" s="2">
        <v>50</v>
      </c>
    </row>
    <row r="424" spans="1:13" ht="180">
      <c r="A424" s="1" t="str">
        <f t="shared" si="384"/>
        <v xml:space="preserve">Li-ion Battery 8MWh_D-LVL_Town </v>
      </c>
      <c r="B424" t="s">
        <v>160</v>
      </c>
      <c r="C424" t="s">
        <v>206</v>
      </c>
      <c r="D424" t="s">
        <v>162</v>
      </c>
      <c r="E424" t="s">
        <v>11</v>
      </c>
      <c r="F424" s="3" t="s">
        <v>204</v>
      </c>
      <c r="I424">
        <v>4</v>
      </c>
      <c r="J424">
        <f t="shared" si="385"/>
        <v>200</v>
      </c>
      <c r="K424" t="s">
        <v>162</v>
      </c>
      <c r="M424" s="2">
        <v>50</v>
      </c>
    </row>
    <row r="425" spans="1:13">
      <c r="A425" s="1" t="str">
        <f t="shared" si="384"/>
        <v xml:space="preserve">Na-S Battery 300MWh_D-LVL_Anglikon </v>
      </c>
      <c r="B425" t="s">
        <v>160</v>
      </c>
      <c r="C425" t="s">
        <v>207</v>
      </c>
      <c r="D425" t="s">
        <v>162</v>
      </c>
      <c r="E425" t="s">
        <v>11</v>
      </c>
      <c r="F425" s="3">
        <v>50</v>
      </c>
      <c r="I425">
        <v>50</v>
      </c>
      <c r="J425">
        <f t="shared" si="385"/>
        <v>500</v>
      </c>
      <c r="K425" t="s">
        <v>162</v>
      </c>
      <c r="M425" s="2">
        <v>10</v>
      </c>
    </row>
    <row r="426" spans="1:13">
      <c r="A426" s="1" t="str">
        <f t="shared" si="384"/>
        <v xml:space="preserve">Na-S Battery 300MWh_D-LVL_Oberdorf </v>
      </c>
      <c r="B426" t="s">
        <v>160</v>
      </c>
      <c r="C426" t="s">
        <v>208</v>
      </c>
      <c r="D426" t="s">
        <v>162</v>
      </c>
      <c r="E426" t="s">
        <v>11</v>
      </c>
      <c r="F426" s="3">
        <v>50</v>
      </c>
      <c r="I426">
        <v>50</v>
      </c>
      <c r="J426">
        <f t="shared" si="385"/>
        <v>500</v>
      </c>
      <c r="K426" t="s">
        <v>162</v>
      </c>
      <c r="M426" s="2">
        <v>10</v>
      </c>
    </row>
    <row r="427" spans="1:13">
      <c r="A427" s="1" t="str">
        <f t="shared" si="384"/>
        <v xml:space="preserve">Na-S Battery 300MWh_D-LVL_Town </v>
      </c>
      <c r="B427" t="s">
        <v>160</v>
      </c>
      <c r="C427" t="s">
        <v>209</v>
      </c>
      <c r="D427" t="s">
        <v>162</v>
      </c>
      <c r="E427" t="s">
        <v>11</v>
      </c>
      <c r="F427" s="3">
        <v>50</v>
      </c>
      <c r="I427">
        <v>50</v>
      </c>
      <c r="J427">
        <f t="shared" si="385"/>
        <v>500</v>
      </c>
      <c r="K427" t="s">
        <v>162</v>
      </c>
      <c r="M427" s="2">
        <v>10</v>
      </c>
    </row>
    <row r="428" spans="1:13">
      <c r="A428" s="1" t="str">
        <f t="shared" si="384"/>
        <v xml:space="preserve">NaMiCl2 Battery 4.15MWh_D-LVL_Anglikon </v>
      </c>
      <c r="B428" t="s">
        <v>160</v>
      </c>
      <c r="C428" t="s">
        <v>210</v>
      </c>
      <c r="D428" t="s">
        <v>162</v>
      </c>
      <c r="E428" t="s">
        <v>11</v>
      </c>
      <c r="F428" s="3">
        <v>0.45</v>
      </c>
      <c r="I428">
        <v>0.45</v>
      </c>
      <c r="J428">
        <f t="shared" si="385"/>
        <v>4.5</v>
      </c>
      <c r="K428" t="s">
        <v>162</v>
      </c>
      <c r="M428" s="2">
        <v>10</v>
      </c>
    </row>
    <row r="429" spans="1:13">
      <c r="A429" s="1" t="str">
        <f t="shared" si="384"/>
        <v xml:space="preserve">NaMiCl2 Battery 4.15MWh_D-LVL_Oberdorf </v>
      </c>
      <c r="B429" t="s">
        <v>160</v>
      </c>
      <c r="C429" t="s">
        <v>211</v>
      </c>
      <c r="D429" t="s">
        <v>162</v>
      </c>
      <c r="E429" t="s">
        <v>11</v>
      </c>
      <c r="F429" s="3">
        <v>0.45</v>
      </c>
      <c r="I429">
        <v>0.45</v>
      </c>
      <c r="J429">
        <f t="shared" si="385"/>
        <v>4.5</v>
      </c>
      <c r="K429" t="s">
        <v>162</v>
      </c>
      <c r="M429" s="2">
        <v>10</v>
      </c>
    </row>
    <row r="430" spans="1:13">
      <c r="A430" s="1" t="str">
        <f t="shared" si="384"/>
        <v xml:space="preserve">NaMiCl2 Battery 4.15MWh_D-LVL_Town </v>
      </c>
      <c r="B430" t="s">
        <v>160</v>
      </c>
      <c r="C430" t="s">
        <v>212</v>
      </c>
      <c r="D430" t="s">
        <v>162</v>
      </c>
      <c r="E430" t="s">
        <v>11</v>
      </c>
      <c r="F430" s="3">
        <v>0.45</v>
      </c>
      <c r="I430">
        <v>0.45</v>
      </c>
      <c r="J430">
        <f t="shared" si="385"/>
        <v>4.5</v>
      </c>
      <c r="K430" t="s">
        <v>162</v>
      </c>
      <c r="M430" s="2">
        <v>10</v>
      </c>
    </row>
    <row r="431" spans="1:13">
      <c r="A431" s="1" t="str">
        <f t="shared" si="384"/>
        <v xml:space="preserve">PTES Seasonal 4.5GWh_D-LVL_Anglikon </v>
      </c>
      <c r="B431" t="s">
        <v>160</v>
      </c>
      <c r="C431" t="s">
        <v>213</v>
      </c>
      <c r="D431" t="s">
        <v>162</v>
      </c>
      <c r="E431" t="s">
        <v>11</v>
      </c>
      <c r="F431" s="3">
        <v>30</v>
      </c>
      <c r="I431">
        <v>30</v>
      </c>
      <c r="J431">
        <f t="shared" si="385"/>
        <v>300</v>
      </c>
      <c r="K431" t="s">
        <v>162</v>
      </c>
      <c r="M431" s="2">
        <v>10</v>
      </c>
    </row>
    <row r="432" spans="1:13">
      <c r="A432" s="1" t="str">
        <f t="shared" si="384"/>
        <v xml:space="preserve">PTES Seasonal 4.5GWh_D-LVL_Oberdorf </v>
      </c>
      <c r="B432" t="s">
        <v>160</v>
      </c>
      <c r="C432" t="s">
        <v>214</v>
      </c>
      <c r="D432" t="s">
        <v>162</v>
      </c>
      <c r="E432" t="s">
        <v>11</v>
      </c>
      <c r="F432" s="3">
        <v>30</v>
      </c>
      <c r="I432">
        <v>30</v>
      </c>
      <c r="J432">
        <f t="shared" si="385"/>
        <v>300</v>
      </c>
      <c r="K432" t="s">
        <v>162</v>
      </c>
      <c r="M432" s="2">
        <v>10</v>
      </c>
    </row>
    <row r="433" spans="1:13">
      <c r="A433" s="1" t="str">
        <f t="shared" si="384"/>
        <v xml:space="preserve">PTES Seasonal 4.5GWh_D-LVL_Town </v>
      </c>
      <c r="B433" t="s">
        <v>160</v>
      </c>
      <c r="C433" t="s">
        <v>215</v>
      </c>
      <c r="D433" t="s">
        <v>162</v>
      </c>
      <c r="E433" t="s">
        <v>11</v>
      </c>
      <c r="F433" s="3">
        <v>30</v>
      </c>
      <c r="I433">
        <v>30</v>
      </c>
      <c r="J433">
        <f t="shared" si="385"/>
        <v>300</v>
      </c>
      <c r="K433" t="s">
        <v>162</v>
      </c>
      <c r="M433" s="2">
        <v>10</v>
      </c>
    </row>
    <row r="434" spans="1:13" ht="150">
      <c r="A434" s="1" t="str">
        <f t="shared" si="384"/>
        <v xml:space="preserve">Vanadium Redox Flow Battery 2MWh_Anglikon_B-LVL_MFH </v>
      </c>
      <c r="B434" t="s">
        <v>160</v>
      </c>
      <c r="C434" t="s">
        <v>216</v>
      </c>
      <c r="D434" t="s">
        <v>162</v>
      </c>
      <c r="E434" t="s">
        <v>11</v>
      </c>
      <c r="F434" s="3" t="s">
        <v>217</v>
      </c>
      <c r="I434">
        <v>0.5</v>
      </c>
      <c r="J434">
        <f t="shared" si="385"/>
        <v>22</v>
      </c>
      <c r="K434" t="s">
        <v>162</v>
      </c>
      <c r="M434" s="2">
        <v>44</v>
      </c>
    </row>
    <row r="435" spans="1:13" ht="150">
      <c r="A435" s="1" t="str">
        <f t="shared" si="384"/>
        <v xml:space="preserve">Vanadium Redox Flow Battery 2MWh_Anglikon_B-LVL_SFH </v>
      </c>
      <c r="B435" t="s">
        <v>160</v>
      </c>
      <c r="C435" t="s">
        <v>218</v>
      </c>
      <c r="D435" t="s">
        <v>162</v>
      </c>
      <c r="E435" t="s">
        <v>11</v>
      </c>
      <c r="F435" s="3" t="s">
        <v>217</v>
      </c>
      <c r="I435">
        <v>0.5</v>
      </c>
      <c r="J435">
        <f t="shared" si="385"/>
        <v>139.5</v>
      </c>
      <c r="K435" t="s">
        <v>162</v>
      </c>
      <c r="M435" s="2">
        <v>279</v>
      </c>
    </row>
    <row r="436" spans="1:13" ht="150">
      <c r="A436" s="1" t="str">
        <f t="shared" si="384"/>
        <v xml:space="preserve">Vanadium Redox Flow Battery 2MWh_Oberdorf_B-LVL_MFH </v>
      </c>
      <c r="B436" t="s">
        <v>160</v>
      </c>
      <c r="C436" t="s">
        <v>219</v>
      </c>
      <c r="D436" t="s">
        <v>162</v>
      </c>
      <c r="E436" t="s">
        <v>11</v>
      </c>
      <c r="F436" s="3" t="s">
        <v>217</v>
      </c>
      <c r="I436">
        <v>0.5</v>
      </c>
      <c r="J436">
        <f t="shared" si="385"/>
        <v>35.5</v>
      </c>
      <c r="K436" t="s">
        <v>162</v>
      </c>
      <c r="M436" s="2">
        <v>71</v>
      </c>
    </row>
    <row r="437" spans="1:13" ht="150">
      <c r="A437" s="1" t="str">
        <f t="shared" si="384"/>
        <v xml:space="preserve">Vanadium Redox Flow Battery 2MWh_Oberdorf_B-LVL_SFH </v>
      </c>
      <c r="B437" t="s">
        <v>160</v>
      </c>
      <c r="C437" t="s">
        <v>220</v>
      </c>
      <c r="D437" t="s">
        <v>162</v>
      </c>
      <c r="E437" t="s">
        <v>11</v>
      </c>
      <c r="F437" s="3" t="s">
        <v>217</v>
      </c>
      <c r="I437">
        <v>0.5</v>
      </c>
      <c r="J437">
        <f t="shared" si="385"/>
        <v>265</v>
      </c>
      <c r="K437" t="s">
        <v>162</v>
      </c>
      <c r="M437" s="2">
        <v>530</v>
      </c>
    </row>
    <row r="438" spans="1:13" ht="150">
      <c r="A438" s="1" t="str">
        <f t="shared" si="384"/>
        <v xml:space="preserve">Vanadium Redox Flow Battery 2MWh_Town_B-LVL_MFH </v>
      </c>
      <c r="B438" t="s">
        <v>160</v>
      </c>
      <c r="C438" t="s">
        <v>221</v>
      </c>
      <c r="D438" t="s">
        <v>162</v>
      </c>
      <c r="E438" t="s">
        <v>11</v>
      </c>
      <c r="F438" s="3" t="s">
        <v>217</v>
      </c>
      <c r="I438">
        <v>0.5</v>
      </c>
      <c r="J438">
        <f t="shared" si="385"/>
        <v>268.5</v>
      </c>
      <c r="K438" t="s">
        <v>162</v>
      </c>
      <c r="M438" s="2">
        <v>537</v>
      </c>
    </row>
    <row r="439" spans="1:13" ht="150">
      <c r="A439" s="1" t="str">
        <f t="shared" si="384"/>
        <v xml:space="preserve">Vanadium Redox Flow Battery 2MWh_Town_B-LVL_SFH </v>
      </c>
      <c r="B439" t="s">
        <v>160</v>
      </c>
      <c r="C439" t="s">
        <v>222</v>
      </c>
      <c r="D439" t="s">
        <v>162</v>
      </c>
      <c r="E439" t="s">
        <v>11</v>
      </c>
      <c r="F439" s="3" t="s">
        <v>217</v>
      </c>
      <c r="I439">
        <v>0.5</v>
      </c>
      <c r="J439">
        <f t="shared" si="385"/>
        <v>857</v>
      </c>
      <c r="K439" t="s">
        <v>162</v>
      </c>
      <c r="M439" s="2">
        <v>1714</v>
      </c>
    </row>
    <row r="440" spans="1:13">
      <c r="A440" s="1" t="str">
        <f t="shared" si="384"/>
        <v xml:space="preserve">Electric Heater (MFH 80kW)_Anglikon_B-LVL_MFH </v>
      </c>
      <c r="B440" t="s">
        <v>223</v>
      </c>
      <c r="C440" t="s">
        <v>224</v>
      </c>
      <c r="D440" t="s">
        <v>162</v>
      </c>
      <c r="E440" t="s">
        <v>11</v>
      </c>
      <c r="F440" s="3">
        <v>0.08</v>
      </c>
      <c r="I440">
        <v>0.08</v>
      </c>
      <c r="J440">
        <f t="shared" si="385"/>
        <v>3.52</v>
      </c>
      <c r="K440" t="s">
        <v>162</v>
      </c>
      <c r="M440" s="2">
        <v>44</v>
      </c>
    </row>
    <row r="441" spans="1:13">
      <c r="A441" s="1" t="str">
        <f t="shared" si="384"/>
        <v xml:space="preserve">Electric Heater (MFH 80kW)_Oberdorf_B-LVL_MFH </v>
      </c>
      <c r="B441" t="s">
        <v>223</v>
      </c>
      <c r="C441" t="s">
        <v>225</v>
      </c>
      <c r="D441" t="s">
        <v>162</v>
      </c>
      <c r="E441" t="s">
        <v>11</v>
      </c>
      <c r="F441" s="3">
        <v>0.08</v>
      </c>
      <c r="I441">
        <v>0.08</v>
      </c>
      <c r="J441">
        <f t="shared" si="385"/>
        <v>5.68</v>
      </c>
      <c r="K441" t="s">
        <v>162</v>
      </c>
      <c r="M441" s="2">
        <v>71</v>
      </c>
    </row>
    <row r="442" spans="1:13">
      <c r="A442" s="1" t="str">
        <f t="shared" si="384"/>
        <v xml:space="preserve">Electric Heater (MFH 80kW)_Town_B-LVL_MFH </v>
      </c>
      <c r="B442" t="s">
        <v>223</v>
      </c>
      <c r="C442" t="s">
        <v>226</v>
      </c>
      <c r="D442" t="s">
        <v>162</v>
      </c>
      <c r="E442" t="s">
        <v>11</v>
      </c>
      <c r="F442" s="3">
        <v>0.08</v>
      </c>
      <c r="I442">
        <v>0.08</v>
      </c>
      <c r="J442">
        <f t="shared" si="385"/>
        <v>42.96</v>
      </c>
      <c r="K442" t="s">
        <v>162</v>
      </c>
      <c r="M442" s="2">
        <v>537</v>
      </c>
    </row>
    <row r="443" spans="1:13">
      <c r="A443" s="1" t="str">
        <f t="shared" si="384"/>
        <v xml:space="preserve">Electric Heater (SFH 17kW)_Anglikon_B-LVL_SFH </v>
      </c>
      <c r="B443" t="s">
        <v>223</v>
      </c>
      <c r="C443" t="s">
        <v>227</v>
      </c>
      <c r="D443" t="s">
        <v>162</v>
      </c>
      <c r="E443" t="s">
        <v>11</v>
      </c>
      <c r="F443" s="3">
        <v>1.7000000000000001E-2</v>
      </c>
      <c r="I443">
        <v>1.7000000000000001E-2</v>
      </c>
      <c r="J443">
        <f t="shared" si="385"/>
        <v>4.7430000000000003</v>
      </c>
      <c r="K443" t="s">
        <v>162</v>
      </c>
      <c r="M443" s="2">
        <v>279</v>
      </c>
    </row>
    <row r="444" spans="1:13">
      <c r="A444" s="1" t="str">
        <f t="shared" si="384"/>
        <v xml:space="preserve">Electric Heater (SFH 17kW)_Oberdorf_B-LVL_SFH </v>
      </c>
      <c r="B444" t="s">
        <v>223</v>
      </c>
      <c r="C444" t="s">
        <v>228</v>
      </c>
      <c r="D444" t="s">
        <v>162</v>
      </c>
      <c r="E444" t="s">
        <v>11</v>
      </c>
      <c r="F444" s="3">
        <v>1.7000000000000001E-2</v>
      </c>
      <c r="I444">
        <v>1.7000000000000001E-2</v>
      </c>
      <c r="J444">
        <f t="shared" si="385"/>
        <v>9.01</v>
      </c>
      <c r="K444" t="s">
        <v>162</v>
      </c>
      <c r="M444" s="2">
        <v>530</v>
      </c>
    </row>
    <row r="445" spans="1:13">
      <c r="A445" s="1" t="str">
        <f t="shared" si="384"/>
        <v xml:space="preserve">Electric Heater (SFH 17kW)_Town_B-LVL_SFH </v>
      </c>
      <c r="B445" t="s">
        <v>223</v>
      </c>
      <c r="C445" t="s">
        <v>229</v>
      </c>
      <c r="D445" t="s">
        <v>162</v>
      </c>
      <c r="E445" t="s">
        <v>11</v>
      </c>
      <c r="F445" s="3">
        <v>1.7000000000000001E-2</v>
      </c>
      <c r="I445">
        <v>1.7000000000000001E-2</v>
      </c>
      <c r="J445">
        <f t="shared" si="385"/>
        <v>29.138000000000002</v>
      </c>
      <c r="K445" t="s">
        <v>162</v>
      </c>
      <c r="M445" s="2">
        <v>1714</v>
      </c>
    </row>
    <row r="446" spans="1:13">
      <c r="A446" s="1" t="str">
        <f t="shared" si="384"/>
        <v xml:space="preserve">Gas Heater (MFH 80kW)_Anglikon_B-LVL_MFH </v>
      </c>
      <c r="B446" t="s">
        <v>223</v>
      </c>
      <c r="C446" t="s">
        <v>230</v>
      </c>
      <c r="D446" t="s">
        <v>162</v>
      </c>
      <c r="E446" t="s">
        <v>11</v>
      </c>
      <c r="F446" s="3">
        <v>0.08</v>
      </c>
      <c r="I446">
        <v>0.08</v>
      </c>
      <c r="J446">
        <f t="shared" si="385"/>
        <v>3.52</v>
      </c>
      <c r="K446" t="s">
        <v>162</v>
      </c>
      <c r="M446" s="2">
        <v>44</v>
      </c>
    </row>
    <row r="447" spans="1:13">
      <c r="A447" s="1" t="str">
        <f t="shared" si="384"/>
        <v xml:space="preserve">Gas Heater (MFH 80kW)_Oberdorf_B-LVL_MFH </v>
      </c>
      <c r="B447" t="s">
        <v>223</v>
      </c>
      <c r="C447" t="s">
        <v>231</v>
      </c>
      <c r="D447" t="s">
        <v>162</v>
      </c>
      <c r="E447" t="s">
        <v>11</v>
      </c>
      <c r="F447" s="3">
        <v>0.08</v>
      </c>
      <c r="I447">
        <v>0.08</v>
      </c>
      <c r="J447">
        <f t="shared" si="385"/>
        <v>5.68</v>
      </c>
      <c r="K447" t="s">
        <v>162</v>
      </c>
      <c r="M447" s="2">
        <v>71</v>
      </c>
    </row>
    <row r="448" spans="1:13">
      <c r="A448" s="1" t="str">
        <f t="shared" ref="A448:A511" si="386">IFERROR(LEFT(C448, FIND(_xlfn.UNICHAR(448), C448) - 1), C448)</f>
        <v xml:space="preserve">Gas Heater (MFH 80kW)_Town_B-LVL_MFH </v>
      </c>
      <c r="B448" t="s">
        <v>223</v>
      </c>
      <c r="C448" t="s">
        <v>232</v>
      </c>
      <c r="D448" t="s">
        <v>162</v>
      </c>
      <c r="E448" t="s">
        <v>11</v>
      </c>
      <c r="F448" s="3">
        <v>0.08</v>
      </c>
      <c r="I448">
        <v>0.08</v>
      </c>
      <c r="J448">
        <f t="shared" ref="J448:J511" si="387">I448*M448</f>
        <v>42.96</v>
      </c>
      <c r="K448" t="s">
        <v>162</v>
      </c>
      <c r="M448" s="2">
        <v>537</v>
      </c>
    </row>
    <row r="449" spans="1:13">
      <c r="A449" s="1" t="str">
        <f t="shared" si="386"/>
        <v xml:space="preserve">Gas Heater (SFH 17kW)_Anglikon_B-LVL_SFH </v>
      </c>
      <c r="B449" t="s">
        <v>223</v>
      </c>
      <c r="C449" t="s">
        <v>233</v>
      </c>
      <c r="D449" t="s">
        <v>162</v>
      </c>
      <c r="E449" t="s">
        <v>11</v>
      </c>
      <c r="F449" s="3">
        <v>1.7000000000000001E-2</v>
      </c>
      <c r="I449">
        <v>1.7000000000000001E-2</v>
      </c>
      <c r="J449">
        <f t="shared" si="387"/>
        <v>4.7430000000000003</v>
      </c>
      <c r="K449" t="s">
        <v>162</v>
      </c>
      <c r="M449" s="2">
        <v>279</v>
      </c>
    </row>
    <row r="450" spans="1:13">
      <c r="A450" s="1" t="str">
        <f t="shared" si="386"/>
        <v xml:space="preserve">Gas Heater (SFH 17kW)_Oberdorf_B-LVL_SFH </v>
      </c>
      <c r="B450" t="s">
        <v>223</v>
      </c>
      <c r="C450" t="s">
        <v>234</v>
      </c>
      <c r="D450" t="s">
        <v>162</v>
      </c>
      <c r="E450" t="s">
        <v>11</v>
      </c>
      <c r="F450" s="3">
        <v>1.7000000000000001E-2</v>
      </c>
      <c r="I450">
        <v>1.7000000000000001E-2</v>
      </c>
      <c r="J450">
        <f t="shared" si="387"/>
        <v>9.01</v>
      </c>
      <c r="K450" t="s">
        <v>162</v>
      </c>
      <c r="M450" s="2">
        <v>530</v>
      </c>
    </row>
    <row r="451" spans="1:13">
      <c r="A451" s="1" t="str">
        <f t="shared" si="386"/>
        <v xml:space="preserve">Gas Heater (SFH 17kW)_Town_B-LVL_SFH </v>
      </c>
      <c r="B451" t="s">
        <v>223</v>
      </c>
      <c r="C451" t="s">
        <v>235</v>
      </c>
      <c r="D451" t="s">
        <v>162</v>
      </c>
      <c r="E451" t="s">
        <v>11</v>
      </c>
      <c r="F451" s="3">
        <v>1.7000000000000001E-2</v>
      </c>
      <c r="I451">
        <v>1.7000000000000001E-2</v>
      </c>
      <c r="J451">
        <f t="shared" si="387"/>
        <v>29.138000000000002</v>
      </c>
      <c r="K451" t="s">
        <v>162</v>
      </c>
      <c r="M451" s="2">
        <v>1714</v>
      </c>
    </row>
    <row r="452" spans="1:13">
      <c r="A452" s="1" t="str">
        <f t="shared" si="386"/>
        <v xml:space="preserve">Gas Turbine (40 MW)_D-LVL_Anglikon </v>
      </c>
      <c r="B452" t="s">
        <v>223</v>
      </c>
      <c r="C452" t="s">
        <v>236</v>
      </c>
      <c r="D452" t="s">
        <v>162</v>
      </c>
      <c r="E452" t="s">
        <v>11</v>
      </c>
      <c r="F452" s="3">
        <v>40</v>
      </c>
      <c r="I452">
        <v>40</v>
      </c>
      <c r="J452">
        <f t="shared" si="387"/>
        <v>400</v>
      </c>
      <c r="K452" t="s">
        <v>162</v>
      </c>
      <c r="M452" s="2">
        <v>10</v>
      </c>
    </row>
    <row r="453" spans="1:13">
      <c r="A453" s="1" t="str">
        <f t="shared" si="386"/>
        <v xml:space="preserve">Gas Turbine (40 MW)_D-LVL_Oberdorf </v>
      </c>
      <c r="B453" t="s">
        <v>223</v>
      </c>
      <c r="C453" t="s">
        <v>237</v>
      </c>
      <c r="D453" t="s">
        <v>162</v>
      </c>
      <c r="E453" t="s">
        <v>11</v>
      </c>
      <c r="F453" s="3">
        <v>40</v>
      </c>
      <c r="I453">
        <v>40</v>
      </c>
      <c r="J453">
        <f t="shared" si="387"/>
        <v>400</v>
      </c>
      <c r="K453" t="s">
        <v>162</v>
      </c>
      <c r="M453" s="2">
        <v>10</v>
      </c>
    </row>
    <row r="454" spans="1:13">
      <c r="A454" s="1" t="str">
        <f t="shared" si="386"/>
        <v xml:space="preserve">Gas Turbine (40 MW)_D-LVL_Town </v>
      </c>
      <c r="B454" t="s">
        <v>223</v>
      </c>
      <c r="C454" t="s">
        <v>238</v>
      </c>
      <c r="D454" t="s">
        <v>162</v>
      </c>
      <c r="E454" t="s">
        <v>11</v>
      </c>
      <c r="F454" s="3">
        <v>40</v>
      </c>
      <c r="I454">
        <v>40</v>
      </c>
      <c r="J454">
        <f t="shared" si="387"/>
        <v>400</v>
      </c>
      <c r="K454" t="s">
        <v>162</v>
      </c>
      <c r="M454" s="2">
        <v>10</v>
      </c>
    </row>
    <row r="455" spans="1:13">
      <c r="A455" s="1" t="str">
        <f t="shared" si="386"/>
        <v xml:space="preserve">H2 Cavern 150GWh_D-LVL_Anglikon </v>
      </c>
      <c r="B455" t="s">
        <v>223</v>
      </c>
      <c r="C455" t="s">
        <v>161</v>
      </c>
      <c r="D455" t="s">
        <v>162</v>
      </c>
      <c r="E455" t="s">
        <v>11</v>
      </c>
      <c r="F455" s="3">
        <v>175</v>
      </c>
      <c r="I455">
        <v>175</v>
      </c>
      <c r="J455">
        <f t="shared" si="387"/>
        <v>1750</v>
      </c>
      <c r="K455" t="s">
        <v>162</v>
      </c>
      <c r="M455" s="2">
        <v>10</v>
      </c>
    </row>
    <row r="456" spans="1:13">
      <c r="A456" s="1" t="str">
        <f t="shared" si="386"/>
        <v xml:space="preserve">H2 Cavern 150GWh_D-LVL_Oberdorf </v>
      </c>
      <c r="B456" t="s">
        <v>223</v>
      </c>
      <c r="C456" t="s">
        <v>163</v>
      </c>
      <c r="D456" t="s">
        <v>162</v>
      </c>
      <c r="E456" t="s">
        <v>11</v>
      </c>
      <c r="F456" s="3">
        <v>175</v>
      </c>
      <c r="I456">
        <v>175</v>
      </c>
      <c r="J456">
        <f t="shared" si="387"/>
        <v>1750</v>
      </c>
      <c r="K456" t="s">
        <v>162</v>
      </c>
      <c r="M456" s="2">
        <v>10</v>
      </c>
    </row>
    <row r="457" spans="1:13">
      <c r="A457" s="1" t="str">
        <f t="shared" si="386"/>
        <v xml:space="preserve">H2 Cavern 150GWh_D-LVL_Town </v>
      </c>
      <c r="B457" t="s">
        <v>223</v>
      </c>
      <c r="C457" t="s">
        <v>164</v>
      </c>
      <c r="D457" t="s">
        <v>162</v>
      </c>
      <c r="E457" t="s">
        <v>11</v>
      </c>
      <c r="F457" s="3">
        <v>175</v>
      </c>
      <c r="I457">
        <v>175</v>
      </c>
      <c r="J457">
        <f t="shared" si="387"/>
        <v>1750</v>
      </c>
      <c r="K457" t="s">
        <v>162</v>
      </c>
      <c r="M457" s="2">
        <v>10</v>
      </c>
    </row>
    <row r="458" spans="1:13" ht="180">
      <c r="A458" s="1" t="str">
        <f t="shared" si="386"/>
        <v xml:space="preserve">H2 LOHC 7MWh_Anglikon_B-LVL_MFH </v>
      </c>
      <c r="B458" t="s">
        <v>223</v>
      </c>
      <c r="C458" t="s">
        <v>171</v>
      </c>
      <c r="D458" t="s">
        <v>162</v>
      </c>
      <c r="E458" t="s">
        <v>11</v>
      </c>
      <c r="F458" s="3" t="s">
        <v>239</v>
      </c>
      <c r="I458">
        <v>10</v>
      </c>
      <c r="J458">
        <f t="shared" si="387"/>
        <v>440</v>
      </c>
      <c r="K458" t="s">
        <v>162</v>
      </c>
      <c r="M458" s="2">
        <v>44</v>
      </c>
    </row>
    <row r="459" spans="1:13" ht="180">
      <c r="A459" s="1" t="str">
        <f t="shared" si="386"/>
        <v xml:space="preserve">H2 LOHC 7MWh_Anglikon_B-LVL_SFH </v>
      </c>
      <c r="B459" t="s">
        <v>223</v>
      </c>
      <c r="C459" t="s">
        <v>173</v>
      </c>
      <c r="D459" t="s">
        <v>162</v>
      </c>
      <c r="E459" t="s">
        <v>11</v>
      </c>
      <c r="F459" s="3" t="s">
        <v>239</v>
      </c>
      <c r="I459">
        <v>10</v>
      </c>
      <c r="J459">
        <f t="shared" si="387"/>
        <v>2790</v>
      </c>
      <c r="K459" t="s">
        <v>162</v>
      </c>
      <c r="M459" s="2">
        <v>279</v>
      </c>
    </row>
    <row r="460" spans="1:13" ht="180">
      <c r="A460" s="1" t="str">
        <f t="shared" si="386"/>
        <v xml:space="preserve">H2 LOHC 7MWh_Oberdorf_B-LVL_MFH </v>
      </c>
      <c r="B460" t="s">
        <v>223</v>
      </c>
      <c r="C460" t="s">
        <v>174</v>
      </c>
      <c r="D460" t="s">
        <v>162</v>
      </c>
      <c r="E460" t="s">
        <v>11</v>
      </c>
      <c r="F460" s="3" t="s">
        <v>239</v>
      </c>
      <c r="I460">
        <v>10</v>
      </c>
      <c r="J460">
        <f t="shared" si="387"/>
        <v>710</v>
      </c>
      <c r="K460" t="s">
        <v>162</v>
      </c>
      <c r="M460" s="2">
        <v>71</v>
      </c>
    </row>
    <row r="461" spans="1:13" ht="180">
      <c r="A461" s="1" t="str">
        <f t="shared" si="386"/>
        <v xml:space="preserve">H2 LOHC 7MWh_Oberdorf_B-LVL_SFH </v>
      </c>
      <c r="B461" t="s">
        <v>223</v>
      </c>
      <c r="C461" t="s">
        <v>175</v>
      </c>
      <c r="D461" t="s">
        <v>162</v>
      </c>
      <c r="E461" t="s">
        <v>11</v>
      </c>
      <c r="F461" s="3" t="s">
        <v>239</v>
      </c>
      <c r="I461">
        <v>10</v>
      </c>
      <c r="J461">
        <f t="shared" si="387"/>
        <v>5300</v>
      </c>
      <c r="K461" t="s">
        <v>162</v>
      </c>
      <c r="M461" s="2">
        <v>530</v>
      </c>
    </row>
    <row r="462" spans="1:13" ht="180">
      <c r="A462" s="1" t="str">
        <f t="shared" si="386"/>
        <v xml:space="preserve">H2 LOHC 7MWh_Town_B-LVL_MFH </v>
      </c>
      <c r="B462" t="s">
        <v>223</v>
      </c>
      <c r="C462" t="s">
        <v>176</v>
      </c>
      <c r="D462" t="s">
        <v>162</v>
      </c>
      <c r="E462" t="s">
        <v>11</v>
      </c>
      <c r="F462" s="3" t="s">
        <v>239</v>
      </c>
      <c r="I462">
        <v>10</v>
      </c>
      <c r="J462">
        <f t="shared" si="387"/>
        <v>5370</v>
      </c>
      <c r="K462" t="s">
        <v>162</v>
      </c>
      <c r="M462" s="2">
        <v>537</v>
      </c>
    </row>
    <row r="463" spans="1:13" ht="180">
      <c r="A463" s="1" t="str">
        <f t="shared" si="386"/>
        <v xml:space="preserve">H2 LOHC 7MWh_Town_B-LVL_SFH </v>
      </c>
      <c r="B463" t="s">
        <v>223</v>
      </c>
      <c r="C463" t="s">
        <v>177</v>
      </c>
      <c r="D463" t="s">
        <v>162</v>
      </c>
      <c r="E463" t="s">
        <v>11</v>
      </c>
      <c r="F463" s="3" t="s">
        <v>239</v>
      </c>
      <c r="I463">
        <v>10</v>
      </c>
      <c r="J463">
        <f t="shared" si="387"/>
        <v>17140</v>
      </c>
      <c r="K463" t="s">
        <v>162</v>
      </c>
      <c r="M463" s="2">
        <v>1714</v>
      </c>
    </row>
    <row r="464" spans="1:13">
      <c r="A464" s="1" t="str">
        <f t="shared" si="386"/>
        <v xml:space="preserve">H2 Tank 16.7MWh_D-LVL_Anglikon </v>
      </c>
      <c r="B464" t="s">
        <v>223</v>
      </c>
      <c r="C464" t="s">
        <v>178</v>
      </c>
      <c r="D464" t="s">
        <v>162</v>
      </c>
      <c r="E464" t="s">
        <v>11</v>
      </c>
      <c r="F464" s="3">
        <v>9.5000000000000001E-2</v>
      </c>
      <c r="I464">
        <v>9.5000000000000001E-2</v>
      </c>
      <c r="J464">
        <f t="shared" si="387"/>
        <v>0.95</v>
      </c>
      <c r="K464" t="s">
        <v>162</v>
      </c>
      <c r="M464" s="2">
        <v>10</v>
      </c>
    </row>
    <row r="465" spans="1:13">
      <c r="A465" s="1" t="str">
        <f t="shared" si="386"/>
        <v xml:space="preserve">H2 Tank 16.7MWh_D-LVL_Oberdorf </v>
      </c>
      <c r="B465" t="s">
        <v>223</v>
      </c>
      <c r="C465" t="s">
        <v>179</v>
      </c>
      <c r="D465" t="s">
        <v>162</v>
      </c>
      <c r="E465" t="s">
        <v>11</v>
      </c>
      <c r="F465" s="3">
        <v>9.5000000000000001E-2</v>
      </c>
      <c r="I465">
        <v>9.5000000000000001E-2</v>
      </c>
      <c r="J465">
        <f t="shared" si="387"/>
        <v>0.95</v>
      </c>
      <c r="K465" t="s">
        <v>162</v>
      </c>
      <c r="M465" s="2">
        <v>10</v>
      </c>
    </row>
    <row r="466" spans="1:13">
      <c r="A466" s="1" t="str">
        <f t="shared" si="386"/>
        <v xml:space="preserve">H2 Tank 16.7MWh_D-LVL_Town </v>
      </c>
      <c r="B466" t="s">
        <v>223</v>
      </c>
      <c r="C466" t="s">
        <v>180</v>
      </c>
      <c r="D466" t="s">
        <v>162</v>
      </c>
      <c r="E466" t="s">
        <v>11</v>
      </c>
      <c r="F466" s="3">
        <v>9.5000000000000001E-2</v>
      </c>
      <c r="I466">
        <v>9.5000000000000001E-2</v>
      </c>
      <c r="J466">
        <f t="shared" si="387"/>
        <v>0.95</v>
      </c>
      <c r="K466" t="s">
        <v>162</v>
      </c>
      <c r="M466" s="2">
        <v>10</v>
      </c>
    </row>
    <row r="467" spans="1:13">
      <c r="A467" s="1" t="str">
        <f t="shared" si="386"/>
        <v xml:space="preserve">H2-PEM Fuel Cell 1MW_Anglikon_B-LVL_MFH </v>
      </c>
      <c r="B467" t="s">
        <v>223</v>
      </c>
      <c r="C467" t="s">
        <v>240</v>
      </c>
      <c r="D467" t="s">
        <v>162</v>
      </c>
      <c r="E467" t="s">
        <v>11</v>
      </c>
      <c r="F467" s="3">
        <v>1</v>
      </c>
      <c r="I467">
        <v>1</v>
      </c>
      <c r="J467">
        <f t="shared" si="387"/>
        <v>44</v>
      </c>
      <c r="K467" t="s">
        <v>162</v>
      </c>
      <c r="M467" s="2">
        <v>44</v>
      </c>
    </row>
    <row r="468" spans="1:13">
      <c r="A468" s="1" t="str">
        <f t="shared" si="386"/>
        <v xml:space="preserve">H2-PEM Fuel Cell 1MW_Oberdorf_B-LVL_MFH </v>
      </c>
      <c r="B468" t="s">
        <v>223</v>
      </c>
      <c r="C468" t="s">
        <v>241</v>
      </c>
      <c r="D468" t="s">
        <v>162</v>
      </c>
      <c r="E468" t="s">
        <v>11</v>
      </c>
      <c r="F468" s="3">
        <v>1</v>
      </c>
      <c r="I468">
        <v>1</v>
      </c>
      <c r="J468">
        <f t="shared" si="387"/>
        <v>71</v>
      </c>
      <c r="K468" t="s">
        <v>162</v>
      </c>
      <c r="M468" s="2">
        <v>71</v>
      </c>
    </row>
    <row r="469" spans="1:13">
      <c r="A469" s="1" t="str">
        <f t="shared" si="386"/>
        <v xml:space="preserve">H2-PEM Fuel Cell 1MW_Town_B-LVL_MFH </v>
      </c>
      <c r="B469" t="s">
        <v>223</v>
      </c>
      <c r="C469" t="s">
        <v>242</v>
      </c>
      <c r="D469" t="s">
        <v>162</v>
      </c>
      <c r="E469" t="s">
        <v>11</v>
      </c>
      <c r="F469" s="3">
        <v>1</v>
      </c>
      <c r="I469">
        <v>1</v>
      </c>
      <c r="J469">
        <f t="shared" si="387"/>
        <v>537</v>
      </c>
      <c r="K469" t="s">
        <v>162</v>
      </c>
      <c r="M469" s="2">
        <v>537</v>
      </c>
    </row>
    <row r="470" spans="1:13">
      <c r="A470" s="1" t="str">
        <f t="shared" si="386"/>
        <v xml:space="preserve">H2-PEM Fuel Cell 100MW_D-LVL_Anglikon </v>
      </c>
      <c r="B470" t="s">
        <v>223</v>
      </c>
      <c r="C470" t="s">
        <v>243</v>
      </c>
      <c r="D470" t="s">
        <v>162</v>
      </c>
      <c r="E470" t="s">
        <v>11</v>
      </c>
      <c r="F470" s="3">
        <v>100</v>
      </c>
      <c r="I470">
        <v>100</v>
      </c>
      <c r="J470">
        <f t="shared" si="387"/>
        <v>500</v>
      </c>
      <c r="K470" t="s">
        <v>162</v>
      </c>
      <c r="M470" s="2">
        <v>5</v>
      </c>
    </row>
    <row r="471" spans="1:13">
      <c r="A471" s="1" t="str">
        <f t="shared" si="386"/>
        <v xml:space="preserve">H2-PEM Fuel Cell 100MW_D-LVL_Oberdorf </v>
      </c>
      <c r="B471" t="s">
        <v>223</v>
      </c>
      <c r="C471" t="s">
        <v>244</v>
      </c>
      <c r="D471" t="s">
        <v>162</v>
      </c>
      <c r="E471" t="s">
        <v>11</v>
      </c>
      <c r="F471" s="3">
        <v>100</v>
      </c>
      <c r="I471">
        <v>100</v>
      </c>
      <c r="J471">
        <f t="shared" si="387"/>
        <v>500</v>
      </c>
      <c r="K471" t="s">
        <v>162</v>
      </c>
      <c r="M471" s="2">
        <v>5</v>
      </c>
    </row>
    <row r="472" spans="1:13">
      <c r="A472" s="1" t="str">
        <f t="shared" si="386"/>
        <v xml:space="preserve">H2-PEM Fuel Cell 100MW_D-LVL_Town </v>
      </c>
      <c r="B472" t="s">
        <v>223</v>
      </c>
      <c r="C472" t="s">
        <v>245</v>
      </c>
      <c r="D472" t="s">
        <v>162</v>
      </c>
      <c r="E472" t="s">
        <v>11</v>
      </c>
      <c r="F472" s="3">
        <v>100</v>
      </c>
      <c r="I472">
        <v>100</v>
      </c>
      <c r="J472">
        <f t="shared" si="387"/>
        <v>500</v>
      </c>
      <c r="K472" t="s">
        <v>162</v>
      </c>
      <c r="M472" s="2">
        <v>5</v>
      </c>
    </row>
    <row r="473" spans="1:13">
      <c r="A473" s="1" t="str">
        <f t="shared" si="386"/>
        <v xml:space="preserve">H2-SO Fuel Cell 1MW_Anglikon_B-LVL_MFH </v>
      </c>
      <c r="B473" t="s">
        <v>223</v>
      </c>
      <c r="C473" t="s">
        <v>246</v>
      </c>
      <c r="D473" t="s">
        <v>162</v>
      </c>
      <c r="E473" t="s">
        <v>11</v>
      </c>
      <c r="F473" s="3">
        <v>1</v>
      </c>
      <c r="I473">
        <v>1</v>
      </c>
      <c r="J473">
        <f t="shared" si="387"/>
        <v>44</v>
      </c>
      <c r="K473" t="s">
        <v>162</v>
      </c>
      <c r="M473" s="2">
        <v>44</v>
      </c>
    </row>
    <row r="474" spans="1:13">
      <c r="A474" s="1" t="str">
        <f t="shared" si="386"/>
        <v xml:space="preserve">H2-SO Fuel Cell 1MW_Oberdorf_B-LVL_MFH </v>
      </c>
      <c r="B474" t="s">
        <v>223</v>
      </c>
      <c r="C474" t="s">
        <v>247</v>
      </c>
      <c r="D474" t="s">
        <v>162</v>
      </c>
      <c r="E474" t="s">
        <v>11</v>
      </c>
      <c r="F474" s="3">
        <v>1</v>
      </c>
      <c r="I474">
        <v>1</v>
      </c>
      <c r="J474">
        <f t="shared" si="387"/>
        <v>71</v>
      </c>
      <c r="K474" t="s">
        <v>162</v>
      </c>
      <c r="M474" s="2">
        <v>71</v>
      </c>
    </row>
    <row r="475" spans="1:13">
      <c r="A475" s="1" t="str">
        <f t="shared" si="386"/>
        <v xml:space="preserve">H2-SO Fuel Cell 1MW_Town_B-LVL_MFH </v>
      </c>
      <c r="B475" t="s">
        <v>223</v>
      </c>
      <c r="C475" t="s">
        <v>248</v>
      </c>
      <c r="D475" t="s">
        <v>162</v>
      </c>
      <c r="E475" t="s">
        <v>11</v>
      </c>
      <c r="F475" s="3">
        <v>1</v>
      </c>
      <c r="I475">
        <v>1</v>
      </c>
      <c r="J475">
        <f t="shared" si="387"/>
        <v>537</v>
      </c>
      <c r="K475" t="s">
        <v>162</v>
      </c>
      <c r="M475" s="2">
        <v>537</v>
      </c>
    </row>
    <row r="476" spans="1:13">
      <c r="A476" s="1" t="str">
        <f t="shared" si="386"/>
        <v xml:space="preserve">Heat Pump (air MFH 80kW)_Anglikon_B-LVL_MFH </v>
      </c>
      <c r="B476" t="s">
        <v>223</v>
      </c>
      <c r="C476" t="s">
        <v>249</v>
      </c>
      <c r="D476" t="s">
        <v>162</v>
      </c>
      <c r="E476" t="s">
        <v>11</v>
      </c>
      <c r="F476" s="3">
        <v>0.08</v>
      </c>
      <c r="I476">
        <v>0.08</v>
      </c>
      <c r="J476">
        <f t="shared" si="387"/>
        <v>3.52</v>
      </c>
      <c r="K476" t="s">
        <v>162</v>
      </c>
      <c r="M476" s="2">
        <v>44</v>
      </c>
    </row>
    <row r="477" spans="1:13">
      <c r="A477" s="1" t="str">
        <f t="shared" si="386"/>
        <v xml:space="preserve">Heat Pump (air MFH 80kW)_Oberdorf_B-LVL_MFH </v>
      </c>
      <c r="B477" t="s">
        <v>223</v>
      </c>
      <c r="C477" t="s">
        <v>250</v>
      </c>
      <c r="D477" t="s">
        <v>162</v>
      </c>
      <c r="E477" t="s">
        <v>11</v>
      </c>
      <c r="F477" s="3">
        <v>0.08</v>
      </c>
      <c r="I477">
        <v>0.08</v>
      </c>
      <c r="J477">
        <f t="shared" si="387"/>
        <v>5.68</v>
      </c>
      <c r="K477" t="s">
        <v>162</v>
      </c>
      <c r="M477" s="2">
        <v>71</v>
      </c>
    </row>
    <row r="478" spans="1:13">
      <c r="A478" s="1" t="str">
        <f t="shared" si="386"/>
        <v xml:space="preserve">Heat Pump (air MFH 80kW)_Town_B-LVL_MFH </v>
      </c>
      <c r="B478" t="s">
        <v>223</v>
      </c>
      <c r="C478" t="s">
        <v>251</v>
      </c>
      <c r="D478" t="s">
        <v>162</v>
      </c>
      <c r="E478" t="s">
        <v>11</v>
      </c>
      <c r="F478" s="3">
        <v>0.08</v>
      </c>
      <c r="I478">
        <v>0.08</v>
      </c>
      <c r="J478">
        <f t="shared" si="387"/>
        <v>42.96</v>
      </c>
      <c r="K478" t="s">
        <v>162</v>
      </c>
      <c r="M478" s="2">
        <v>537</v>
      </c>
    </row>
    <row r="479" spans="1:13">
      <c r="A479" s="1" t="str">
        <f t="shared" si="386"/>
        <v xml:space="preserve">Heat Pump (air SFH 17kW)_Anglikon_B-LVL_SFH </v>
      </c>
      <c r="B479" t="s">
        <v>223</v>
      </c>
      <c r="C479" t="s">
        <v>252</v>
      </c>
      <c r="D479" t="s">
        <v>162</v>
      </c>
      <c r="E479" t="s">
        <v>11</v>
      </c>
      <c r="F479" s="3">
        <v>1.7000000000000001E-2</v>
      </c>
      <c r="I479">
        <v>1.7000000000000001E-2</v>
      </c>
      <c r="J479">
        <f t="shared" si="387"/>
        <v>4.7430000000000003</v>
      </c>
      <c r="K479" t="s">
        <v>162</v>
      </c>
      <c r="M479" s="2">
        <v>279</v>
      </c>
    </row>
    <row r="480" spans="1:13">
      <c r="A480" s="1" t="str">
        <f t="shared" si="386"/>
        <v xml:space="preserve">Heat Pump (air SFH 17kW)_Oberdorf_B-LVL_SFH </v>
      </c>
      <c r="B480" t="s">
        <v>223</v>
      </c>
      <c r="C480" t="s">
        <v>253</v>
      </c>
      <c r="D480" t="s">
        <v>162</v>
      </c>
      <c r="E480" t="s">
        <v>11</v>
      </c>
      <c r="F480" s="3">
        <v>1.7000000000000001E-2</v>
      </c>
      <c r="I480">
        <v>1.7000000000000001E-2</v>
      </c>
      <c r="J480">
        <f t="shared" si="387"/>
        <v>9.01</v>
      </c>
      <c r="K480" t="s">
        <v>162</v>
      </c>
      <c r="M480" s="2">
        <v>530</v>
      </c>
    </row>
    <row r="481" spans="1:13">
      <c r="A481" s="1" t="str">
        <f t="shared" si="386"/>
        <v xml:space="preserve">Heat Pump (air SFH 17kW)_Town_B-LVL_SFH </v>
      </c>
      <c r="B481" t="s">
        <v>223</v>
      </c>
      <c r="C481" t="s">
        <v>254</v>
      </c>
      <c r="D481" t="s">
        <v>162</v>
      </c>
      <c r="E481" t="s">
        <v>11</v>
      </c>
      <c r="F481" s="3">
        <v>1.7000000000000001E-2</v>
      </c>
      <c r="I481">
        <v>1.7000000000000001E-2</v>
      </c>
      <c r="J481">
        <f t="shared" si="387"/>
        <v>29.138000000000002</v>
      </c>
      <c r="K481" t="s">
        <v>162</v>
      </c>
      <c r="M481" s="2">
        <v>1714</v>
      </c>
    </row>
    <row r="482" spans="1:13">
      <c r="A482" s="1" t="str">
        <f t="shared" si="386"/>
        <v xml:space="preserve">Heat Pump (ground 1MW)_D-LVL_Anglikon </v>
      </c>
      <c r="B482" t="s">
        <v>223</v>
      </c>
      <c r="C482" t="s">
        <v>255</v>
      </c>
      <c r="D482" t="s">
        <v>162</v>
      </c>
      <c r="E482" t="s">
        <v>11</v>
      </c>
      <c r="F482" s="3">
        <v>1</v>
      </c>
      <c r="I482">
        <v>1</v>
      </c>
      <c r="J482">
        <f t="shared" si="387"/>
        <v>100</v>
      </c>
      <c r="K482" t="s">
        <v>162</v>
      </c>
      <c r="M482" s="2">
        <v>100</v>
      </c>
    </row>
    <row r="483" spans="1:13">
      <c r="A483" s="1" t="str">
        <f t="shared" si="386"/>
        <v xml:space="preserve">Heat Pump (ground 1MW)_D-LVL_Oberdorf </v>
      </c>
      <c r="B483" t="s">
        <v>223</v>
      </c>
      <c r="C483" t="s">
        <v>256</v>
      </c>
      <c r="D483" t="s">
        <v>162</v>
      </c>
      <c r="E483" t="s">
        <v>11</v>
      </c>
      <c r="F483" s="3">
        <v>1</v>
      </c>
      <c r="I483">
        <v>1</v>
      </c>
      <c r="J483">
        <f t="shared" si="387"/>
        <v>100</v>
      </c>
      <c r="K483" t="s">
        <v>162</v>
      </c>
      <c r="M483" s="2">
        <v>100</v>
      </c>
    </row>
    <row r="484" spans="1:13">
      <c r="A484" s="1" t="str">
        <f t="shared" si="386"/>
        <v xml:space="preserve">Heat Pump (ground 1MW)_D-LVL_Town </v>
      </c>
      <c r="B484" t="s">
        <v>223</v>
      </c>
      <c r="C484" t="s">
        <v>257</v>
      </c>
      <c r="D484" t="s">
        <v>162</v>
      </c>
      <c r="E484" t="s">
        <v>11</v>
      </c>
      <c r="F484" s="3">
        <v>1</v>
      </c>
      <c r="I484">
        <v>1</v>
      </c>
      <c r="J484">
        <f t="shared" si="387"/>
        <v>100</v>
      </c>
      <c r="K484" t="s">
        <v>162</v>
      </c>
      <c r="M484" s="2">
        <v>100</v>
      </c>
    </row>
    <row r="485" spans="1:13">
      <c r="A485" s="1" t="str">
        <f t="shared" si="386"/>
        <v xml:space="preserve">Heat Pump (ground MFH 80kW)_Anglikon_B-LVL_MFH </v>
      </c>
      <c r="B485" t="s">
        <v>223</v>
      </c>
      <c r="C485" t="s">
        <v>258</v>
      </c>
      <c r="D485" t="s">
        <v>162</v>
      </c>
      <c r="E485" t="s">
        <v>11</v>
      </c>
      <c r="F485" s="3">
        <v>0.08</v>
      </c>
      <c r="I485">
        <v>0.08</v>
      </c>
      <c r="J485">
        <f t="shared" si="387"/>
        <v>3.52</v>
      </c>
      <c r="K485" t="s">
        <v>162</v>
      </c>
      <c r="M485" s="2">
        <v>44</v>
      </c>
    </row>
    <row r="486" spans="1:13">
      <c r="A486" s="1" t="str">
        <f t="shared" si="386"/>
        <v xml:space="preserve">Heat Pump (ground MFH 80kW)_Oberdorf_B-LVL_MFH </v>
      </c>
      <c r="B486" t="s">
        <v>223</v>
      </c>
      <c r="C486" t="s">
        <v>259</v>
      </c>
      <c r="D486" t="s">
        <v>162</v>
      </c>
      <c r="E486" t="s">
        <v>11</v>
      </c>
      <c r="F486" s="3">
        <v>0.08</v>
      </c>
      <c r="I486">
        <v>0.08</v>
      </c>
      <c r="J486">
        <f t="shared" si="387"/>
        <v>5.68</v>
      </c>
      <c r="K486" t="s">
        <v>162</v>
      </c>
      <c r="M486" s="2">
        <v>71</v>
      </c>
    </row>
    <row r="487" spans="1:13">
      <c r="A487" s="1" t="str">
        <f t="shared" si="386"/>
        <v xml:space="preserve">Heat Pump (ground MFH 80kW)_Town_B-LVL_MFH </v>
      </c>
      <c r="B487" t="s">
        <v>223</v>
      </c>
      <c r="C487" t="s">
        <v>260</v>
      </c>
      <c r="D487" t="s">
        <v>162</v>
      </c>
      <c r="E487" t="s">
        <v>11</v>
      </c>
      <c r="F487" s="3">
        <v>0.08</v>
      </c>
      <c r="I487">
        <v>0.08</v>
      </c>
      <c r="J487">
        <f t="shared" si="387"/>
        <v>42.96</v>
      </c>
      <c r="K487" t="s">
        <v>162</v>
      </c>
      <c r="M487" s="2">
        <v>537</v>
      </c>
    </row>
    <row r="488" spans="1:13">
      <c r="A488" s="1" t="str">
        <f t="shared" si="386"/>
        <v xml:space="preserve">Heat Pump (ground SFH 17kW)_Anglikon_B-LVL_SFH </v>
      </c>
      <c r="B488" t="s">
        <v>223</v>
      </c>
      <c r="C488" t="s">
        <v>261</v>
      </c>
      <c r="D488" t="s">
        <v>162</v>
      </c>
      <c r="E488" t="s">
        <v>11</v>
      </c>
      <c r="F488" s="3">
        <v>1.7000000000000001E-2</v>
      </c>
      <c r="I488">
        <v>1.7000000000000001E-2</v>
      </c>
      <c r="J488">
        <f t="shared" si="387"/>
        <v>4.7430000000000003</v>
      </c>
      <c r="K488" t="s">
        <v>162</v>
      </c>
      <c r="M488" s="2">
        <v>279</v>
      </c>
    </row>
    <row r="489" spans="1:13">
      <c r="A489" s="1" t="str">
        <f t="shared" si="386"/>
        <v xml:space="preserve">Heat Pump (ground SFH 17kW)_Oberdorf_B-LVL_SFH </v>
      </c>
      <c r="B489" t="s">
        <v>223</v>
      </c>
      <c r="C489" t="s">
        <v>262</v>
      </c>
      <c r="D489" t="s">
        <v>162</v>
      </c>
      <c r="E489" t="s">
        <v>11</v>
      </c>
      <c r="F489" s="3">
        <v>1.7000000000000001E-2</v>
      </c>
      <c r="I489">
        <v>1.7000000000000001E-2</v>
      </c>
      <c r="J489">
        <f t="shared" si="387"/>
        <v>9.01</v>
      </c>
      <c r="K489" t="s">
        <v>162</v>
      </c>
      <c r="M489" s="2">
        <v>530</v>
      </c>
    </row>
    <row r="490" spans="1:13">
      <c r="A490" s="1" t="str">
        <f t="shared" si="386"/>
        <v xml:space="preserve">Heat Pump (ground SFH 17kW)_Town_B-LVL_SFH </v>
      </c>
      <c r="B490" t="s">
        <v>223</v>
      </c>
      <c r="C490" t="s">
        <v>263</v>
      </c>
      <c r="D490" t="s">
        <v>162</v>
      </c>
      <c r="E490" t="s">
        <v>11</v>
      </c>
      <c r="F490" s="3">
        <v>1.7000000000000001E-2</v>
      </c>
      <c r="I490">
        <v>1.7000000000000001E-2</v>
      </c>
      <c r="J490">
        <f t="shared" si="387"/>
        <v>29.138000000000002</v>
      </c>
      <c r="K490" t="s">
        <v>162</v>
      </c>
      <c r="M490" s="2">
        <v>1714</v>
      </c>
    </row>
    <row r="491" spans="1:13">
      <c r="A491" s="1" t="str">
        <f t="shared" si="386"/>
        <v xml:space="preserve">Heat Pump (water 1MW)_D-LVL_Anglikon </v>
      </c>
      <c r="B491" t="s">
        <v>223</v>
      </c>
      <c r="C491" t="s">
        <v>264</v>
      </c>
      <c r="D491" t="s">
        <v>162</v>
      </c>
      <c r="E491" t="s">
        <v>11</v>
      </c>
      <c r="F491" s="3">
        <v>1</v>
      </c>
      <c r="I491">
        <v>1</v>
      </c>
      <c r="J491">
        <f t="shared" si="387"/>
        <v>100</v>
      </c>
      <c r="K491" t="s">
        <v>162</v>
      </c>
      <c r="M491" s="2">
        <v>100</v>
      </c>
    </row>
    <row r="492" spans="1:13">
      <c r="A492" s="1" t="str">
        <f t="shared" si="386"/>
        <v xml:space="preserve">Heat Pump (water 1MW)_D-LVL_Oberdorf </v>
      </c>
      <c r="B492" t="s">
        <v>223</v>
      </c>
      <c r="C492" t="s">
        <v>265</v>
      </c>
      <c r="D492" t="s">
        <v>162</v>
      </c>
      <c r="E492" t="s">
        <v>11</v>
      </c>
      <c r="F492" s="3">
        <v>1</v>
      </c>
      <c r="I492">
        <v>1</v>
      </c>
      <c r="J492">
        <f t="shared" si="387"/>
        <v>100</v>
      </c>
      <c r="K492" t="s">
        <v>162</v>
      </c>
      <c r="M492" s="2">
        <v>100</v>
      </c>
    </row>
    <row r="493" spans="1:13">
      <c r="A493" s="1" t="str">
        <f t="shared" si="386"/>
        <v xml:space="preserve">Heat Pump (water 1MW)_D-LVL_Town </v>
      </c>
      <c r="B493" t="s">
        <v>223</v>
      </c>
      <c r="C493" t="s">
        <v>266</v>
      </c>
      <c r="D493" t="s">
        <v>162</v>
      </c>
      <c r="E493" t="s">
        <v>11</v>
      </c>
      <c r="F493" s="3">
        <v>1</v>
      </c>
      <c r="I493">
        <v>1</v>
      </c>
      <c r="J493">
        <f t="shared" si="387"/>
        <v>100</v>
      </c>
      <c r="K493" t="s">
        <v>162</v>
      </c>
      <c r="M493" s="2">
        <v>100</v>
      </c>
    </row>
    <row r="494" spans="1:13" ht="180">
      <c r="A494" s="1" t="str">
        <f t="shared" si="386"/>
        <v xml:space="preserve">Hot Water Tank (3kWh)_Anglikon_B-LVL_MFH </v>
      </c>
      <c r="B494" t="s">
        <v>223</v>
      </c>
      <c r="C494" t="s">
        <v>193</v>
      </c>
      <c r="D494" t="s">
        <v>162</v>
      </c>
      <c r="E494" t="s">
        <v>11</v>
      </c>
      <c r="F494" s="3" t="s">
        <v>194</v>
      </c>
      <c r="I494">
        <v>0.02</v>
      </c>
      <c r="J494">
        <f t="shared" si="387"/>
        <v>0.88</v>
      </c>
      <c r="K494" t="s">
        <v>162</v>
      </c>
      <c r="M494" s="2">
        <v>44</v>
      </c>
    </row>
    <row r="495" spans="1:13" ht="180">
      <c r="A495" s="1" t="str">
        <f t="shared" si="386"/>
        <v xml:space="preserve">Hot Water Tank (3kWh)_Anglikon_B-LVL_SFH </v>
      </c>
      <c r="B495" t="s">
        <v>223</v>
      </c>
      <c r="C495" t="s">
        <v>195</v>
      </c>
      <c r="D495" t="s">
        <v>162</v>
      </c>
      <c r="E495" t="s">
        <v>11</v>
      </c>
      <c r="F495" s="3" t="s">
        <v>194</v>
      </c>
      <c r="I495">
        <v>0.02</v>
      </c>
      <c r="J495">
        <f t="shared" si="387"/>
        <v>5.58</v>
      </c>
      <c r="K495" t="s">
        <v>162</v>
      </c>
      <c r="M495" s="2">
        <v>279</v>
      </c>
    </row>
    <row r="496" spans="1:13" ht="180">
      <c r="A496" s="1" t="str">
        <f t="shared" si="386"/>
        <v xml:space="preserve">Hot Water Tank (3kWh)_Oberdorf_B-LVL_MFH </v>
      </c>
      <c r="B496" t="s">
        <v>223</v>
      </c>
      <c r="C496" t="s">
        <v>196</v>
      </c>
      <c r="D496" t="s">
        <v>162</v>
      </c>
      <c r="E496" t="s">
        <v>11</v>
      </c>
      <c r="F496" s="3" t="s">
        <v>194</v>
      </c>
      <c r="I496">
        <v>0.02</v>
      </c>
      <c r="J496">
        <f t="shared" si="387"/>
        <v>1.42</v>
      </c>
      <c r="K496" t="s">
        <v>162</v>
      </c>
      <c r="M496" s="2">
        <v>71</v>
      </c>
    </row>
    <row r="497" spans="1:13" ht="180">
      <c r="A497" s="1" t="str">
        <f t="shared" si="386"/>
        <v xml:space="preserve">Hot Water Tank (3kWh)_Oberdorf_B-LVL_SFH </v>
      </c>
      <c r="B497" t="s">
        <v>223</v>
      </c>
      <c r="C497" t="s">
        <v>197</v>
      </c>
      <c r="D497" t="s">
        <v>162</v>
      </c>
      <c r="E497" t="s">
        <v>11</v>
      </c>
      <c r="F497" s="3" t="s">
        <v>194</v>
      </c>
      <c r="I497">
        <v>0.02</v>
      </c>
      <c r="J497">
        <f t="shared" si="387"/>
        <v>10.6</v>
      </c>
      <c r="K497" t="s">
        <v>162</v>
      </c>
      <c r="M497" s="2">
        <v>530</v>
      </c>
    </row>
    <row r="498" spans="1:13" ht="180">
      <c r="A498" s="1" t="str">
        <f t="shared" si="386"/>
        <v xml:space="preserve">Hot Water Tank (3kWh)_Town_B-LVL_MFH </v>
      </c>
      <c r="B498" t="s">
        <v>223</v>
      </c>
      <c r="C498" t="s">
        <v>198</v>
      </c>
      <c r="D498" t="s">
        <v>162</v>
      </c>
      <c r="E498" t="s">
        <v>11</v>
      </c>
      <c r="F498" s="3" t="s">
        <v>194</v>
      </c>
      <c r="I498">
        <v>0.02</v>
      </c>
      <c r="J498">
        <f t="shared" si="387"/>
        <v>10.74</v>
      </c>
      <c r="K498" t="s">
        <v>162</v>
      </c>
      <c r="M498" s="2">
        <v>537</v>
      </c>
    </row>
    <row r="499" spans="1:13" ht="180">
      <c r="A499" s="1" t="str">
        <f t="shared" si="386"/>
        <v xml:space="preserve">Hot Water Tank (3kWh)_Town_B-LVL_SFH </v>
      </c>
      <c r="B499" t="s">
        <v>223</v>
      </c>
      <c r="C499" t="s">
        <v>199</v>
      </c>
      <c r="D499" t="s">
        <v>162</v>
      </c>
      <c r="E499" t="s">
        <v>11</v>
      </c>
      <c r="F499" s="3" t="s">
        <v>194</v>
      </c>
      <c r="I499">
        <v>0.02</v>
      </c>
      <c r="J499">
        <f t="shared" si="387"/>
        <v>34.28</v>
      </c>
      <c r="K499" t="s">
        <v>162</v>
      </c>
      <c r="M499" s="2">
        <v>1714</v>
      </c>
    </row>
    <row r="500" spans="1:13">
      <c r="A500" s="1" t="str">
        <f t="shared" si="386"/>
        <v xml:space="preserve">Hot Water Tank (175MWh)_D-LVL_Anglikon </v>
      </c>
      <c r="B500" t="s">
        <v>223</v>
      </c>
      <c r="C500" t="s">
        <v>200</v>
      </c>
      <c r="D500" t="s">
        <v>162</v>
      </c>
      <c r="E500" t="s">
        <v>11</v>
      </c>
      <c r="F500" s="3">
        <v>2.9</v>
      </c>
      <c r="I500">
        <v>2.9</v>
      </c>
      <c r="J500">
        <f t="shared" si="387"/>
        <v>29</v>
      </c>
      <c r="K500" t="s">
        <v>162</v>
      </c>
      <c r="M500" s="2">
        <v>10</v>
      </c>
    </row>
    <row r="501" spans="1:13">
      <c r="A501" s="1" t="str">
        <f t="shared" si="386"/>
        <v xml:space="preserve">Hot Water Tank (175MWh)_D-LVL_Oberdorf </v>
      </c>
      <c r="B501" t="s">
        <v>223</v>
      </c>
      <c r="C501" t="s">
        <v>201</v>
      </c>
      <c r="D501" t="s">
        <v>162</v>
      </c>
      <c r="E501" t="s">
        <v>11</v>
      </c>
      <c r="F501" s="3">
        <v>2.9</v>
      </c>
      <c r="I501">
        <v>2.9</v>
      </c>
      <c r="J501">
        <f t="shared" si="387"/>
        <v>29</v>
      </c>
      <c r="K501" t="s">
        <v>162</v>
      </c>
      <c r="M501" s="2">
        <v>10</v>
      </c>
    </row>
    <row r="502" spans="1:13">
      <c r="A502" s="1" t="str">
        <f t="shared" si="386"/>
        <v xml:space="preserve">Hot Water Tank (175MWh)_D-LVL_Town </v>
      </c>
      <c r="B502" t="s">
        <v>223</v>
      </c>
      <c r="C502" t="s">
        <v>202</v>
      </c>
      <c r="D502" t="s">
        <v>162</v>
      </c>
      <c r="E502" t="s">
        <v>11</v>
      </c>
      <c r="F502" s="3">
        <v>2.9</v>
      </c>
      <c r="I502">
        <v>2.9</v>
      </c>
      <c r="J502">
        <f t="shared" si="387"/>
        <v>29</v>
      </c>
      <c r="K502" t="s">
        <v>162</v>
      </c>
      <c r="M502" s="2">
        <v>10</v>
      </c>
    </row>
    <row r="503" spans="1:13" ht="180">
      <c r="A503" s="1" t="str">
        <f t="shared" si="386"/>
        <v xml:space="preserve">Li-ion Battery 8MWh_D-LVL_Anglikon </v>
      </c>
      <c r="B503" t="s">
        <v>223</v>
      </c>
      <c r="C503" t="s">
        <v>203</v>
      </c>
      <c r="D503" t="s">
        <v>162</v>
      </c>
      <c r="E503" t="s">
        <v>11</v>
      </c>
      <c r="F503" s="3" t="s">
        <v>267</v>
      </c>
      <c r="I503">
        <v>24</v>
      </c>
      <c r="J503">
        <f t="shared" si="387"/>
        <v>1200</v>
      </c>
      <c r="K503" t="s">
        <v>162</v>
      </c>
      <c r="M503" s="2">
        <v>50</v>
      </c>
    </row>
    <row r="504" spans="1:13" ht="180">
      <c r="A504" s="1" t="str">
        <f t="shared" si="386"/>
        <v xml:space="preserve">Li-ion Battery 8MWh_D-LVL_Oberdorf </v>
      </c>
      <c r="B504" t="s">
        <v>223</v>
      </c>
      <c r="C504" t="s">
        <v>205</v>
      </c>
      <c r="D504" t="s">
        <v>162</v>
      </c>
      <c r="E504" t="s">
        <v>11</v>
      </c>
      <c r="F504" s="3" t="s">
        <v>267</v>
      </c>
      <c r="I504">
        <v>24</v>
      </c>
      <c r="J504">
        <f t="shared" si="387"/>
        <v>1200</v>
      </c>
      <c r="K504" t="s">
        <v>162</v>
      </c>
      <c r="M504" s="2">
        <v>50</v>
      </c>
    </row>
    <row r="505" spans="1:13" ht="180">
      <c r="A505" s="1" t="str">
        <f t="shared" si="386"/>
        <v xml:space="preserve">Li-ion Battery 8MWh_D-LVL_Town </v>
      </c>
      <c r="B505" t="s">
        <v>223</v>
      </c>
      <c r="C505" t="s">
        <v>206</v>
      </c>
      <c r="D505" t="s">
        <v>162</v>
      </c>
      <c r="E505" t="s">
        <v>11</v>
      </c>
      <c r="F505" s="3" t="s">
        <v>267</v>
      </c>
      <c r="I505">
        <v>24</v>
      </c>
      <c r="J505">
        <f t="shared" si="387"/>
        <v>1200</v>
      </c>
      <c r="K505" t="s">
        <v>162</v>
      </c>
      <c r="M505" s="2">
        <v>50</v>
      </c>
    </row>
    <row r="506" spans="1:13">
      <c r="A506" s="1" t="str">
        <f t="shared" si="386"/>
        <v xml:space="preserve">Na-S Battery 300MWh_D-LVL_Anglikon </v>
      </c>
      <c r="B506" t="s">
        <v>223</v>
      </c>
      <c r="C506" t="s">
        <v>207</v>
      </c>
      <c r="D506" t="s">
        <v>162</v>
      </c>
      <c r="E506" t="s">
        <v>11</v>
      </c>
      <c r="F506" s="3">
        <v>50</v>
      </c>
      <c r="I506">
        <v>50</v>
      </c>
      <c r="J506">
        <f t="shared" si="387"/>
        <v>500</v>
      </c>
      <c r="K506" t="s">
        <v>162</v>
      </c>
      <c r="M506" s="2">
        <v>10</v>
      </c>
    </row>
    <row r="507" spans="1:13">
      <c r="A507" s="1" t="str">
        <f t="shared" si="386"/>
        <v xml:space="preserve">Na-S Battery 300MWh_D-LVL_Oberdorf </v>
      </c>
      <c r="B507" t="s">
        <v>223</v>
      </c>
      <c r="C507" t="s">
        <v>208</v>
      </c>
      <c r="D507" t="s">
        <v>162</v>
      </c>
      <c r="E507" t="s">
        <v>11</v>
      </c>
      <c r="F507" s="3">
        <v>50</v>
      </c>
      <c r="I507">
        <v>50</v>
      </c>
      <c r="J507">
        <f t="shared" si="387"/>
        <v>500</v>
      </c>
      <c r="K507" t="s">
        <v>162</v>
      </c>
      <c r="M507" s="2">
        <v>10</v>
      </c>
    </row>
    <row r="508" spans="1:13">
      <c r="A508" s="1" t="str">
        <f t="shared" si="386"/>
        <v xml:space="preserve">Na-S Battery 300MWh_D-LVL_Town </v>
      </c>
      <c r="B508" t="s">
        <v>223</v>
      </c>
      <c r="C508" t="s">
        <v>209</v>
      </c>
      <c r="D508" t="s">
        <v>162</v>
      </c>
      <c r="E508" t="s">
        <v>11</v>
      </c>
      <c r="F508" s="3">
        <v>50</v>
      </c>
      <c r="I508">
        <v>50</v>
      </c>
      <c r="J508">
        <f t="shared" si="387"/>
        <v>500</v>
      </c>
      <c r="K508" t="s">
        <v>162</v>
      </c>
      <c r="M508" s="2">
        <v>10</v>
      </c>
    </row>
    <row r="509" spans="1:13">
      <c r="A509" s="1" t="str">
        <f t="shared" si="386"/>
        <v xml:space="preserve">NaMiCl2 Battery 4.15MWh_D-LVL_Anglikon </v>
      </c>
      <c r="B509" t="s">
        <v>223</v>
      </c>
      <c r="C509" t="s">
        <v>210</v>
      </c>
      <c r="D509" t="s">
        <v>162</v>
      </c>
      <c r="E509" t="s">
        <v>11</v>
      </c>
      <c r="F509" s="3">
        <v>1.2</v>
      </c>
      <c r="I509">
        <v>1.2</v>
      </c>
      <c r="J509">
        <f t="shared" si="387"/>
        <v>12</v>
      </c>
      <c r="K509" t="s">
        <v>162</v>
      </c>
      <c r="M509" s="2">
        <v>10</v>
      </c>
    </row>
    <row r="510" spans="1:13">
      <c r="A510" s="1" t="str">
        <f t="shared" si="386"/>
        <v xml:space="preserve">NaMiCl2 Battery 4.15MWh_D-LVL_Oberdorf </v>
      </c>
      <c r="B510" t="s">
        <v>223</v>
      </c>
      <c r="C510" t="s">
        <v>211</v>
      </c>
      <c r="D510" t="s">
        <v>162</v>
      </c>
      <c r="E510" t="s">
        <v>11</v>
      </c>
      <c r="F510" s="3">
        <v>1.2</v>
      </c>
      <c r="I510">
        <v>1.2</v>
      </c>
      <c r="J510">
        <f t="shared" si="387"/>
        <v>12</v>
      </c>
      <c r="K510" t="s">
        <v>162</v>
      </c>
      <c r="M510" s="2">
        <v>10</v>
      </c>
    </row>
    <row r="511" spans="1:13">
      <c r="A511" s="1" t="str">
        <f t="shared" si="386"/>
        <v xml:space="preserve">NaMiCl2 Battery 4.15MWh_D-LVL_Town </v>
      </c>
      <c r="B511" t="s">
        <v>223</v>
      </c>
      <c r="C511" t="s">
        <v>212</v>
      </c>
      <c r="D511" t="s">
        <v>162</v>
      </c>
      <c r="E511" t="s">
        <v>11</v>
      </c>
      <c r="F511" s="3">
        <v>1.2</v>
      </c>
      <c r="I511">
        <v>1.2</v>
      </c>
      <c r="J511">
        <f t="shared" si="387"/>
        <v>12</v>
      </c>
      <c r="K511" t="s">
        <v>162</v>
      </c>
      <c r="M511" s="2">
        <v>10</v>
      </c>
    </row>
    <row r="512" spans="1:13">
      <c r="A512" s="1" t="str">
        <f t="shared" ref="A512:A551" si="388">IFERROR(LEFT(C512, FIND(_xlfn.UNICHAR(448), C512) - 1), C512)</f>
        <v xml:space="preserve">Oil Heater (MFH 80kW)_Anglikon_B-LVL_MFH </v>
      </c>
      <c r="B512" t="s">
        <v>223</v>
      </c>
      <c r="C512" t="s">
        <v>268</v>
      </c>
      <c r="D512" t="s">
        <v>162</v>
      </c>
      <c r="E512" t="s">
        <v>11</v>
      </c>
      <c r="F512" s="3">
        <v>0.08</v>
      </c>
      <c r="I512">
        <v>0.08</v>
      </c>
      <c r="J512">
        <f t="shared" ref="J512:J551" si="389">I512*M512</f>
        <v>3.52</v>
      </c>
      <c r="K512" t="s">
        <v>162</v>
      </c>
      <c r="M512" s="2">
        <v>44</v>
      </c>
    </row>
    <row r="513" spans="1:13">
      <c r="A513" s="1" t="str">
        <f t="shared" si="388"/>
        <v xml:space="preserve">Oil Heater (MFH 80kW)_Oberdorf_B-LVL_MFH </v>
      </c>
      <c r="B513" t="s">
        <v>223</v>
      </c>
      <c r="C513" t="s">
        <v>269</v>
      </c>
      <c r="D513" t="s">
        <v>162</v>
      </c>
      <c r="E513" t="s">
        <v>11</v>
      </c>
      <c r="F513" s="3">
        <v>0.08</v>
      </c>
      <c r="I513">
        <v>0.08</v>
      </c>
      <c r="J513">
        <f t="shared" si="389"/>
        <v>5.68</v>
      </c>
      <c r="K513" t="s">
        <v>162</v>
      </c>
      <c r="M513" s="2">
        <v>71</v>
      </c>
    </row>
    <row r="514" spans="1:13">
      <c r="A514" s="1" t="str">
        <f t="shared" si="388"/>
        <v xml:space="preserve">Oil Heater (MFH 80kW)_Town_B-LVL_MFH </v>
      </c>
      <c r="B514" t="s">
        <v>223</v>
      </c>
      <c r="C514" t="s">
        <v>270</v>
      </c>
      <c r="D514" t="s">
        <v>162</v>
      </c>
      <c r="E514" t="s">
        <v>11</v>
      </c>
      <c r="F514" s="3">
        <v>0.08</v>
      </c>
      <c r="I514">
        <v>0.08</v>
      </c>
      <c r="J514">
        <f t="shared" si="389"/>
        <v>42.96</v>
      </c>
      <c r="K514" t="s">
        <v>162</v>
      </c>
      <c r="M514" s="2">
        <v>537</v>
      </c>
    </row>
    <row r="515" spans="1:13">
      <c r="A515" s="1" t="str">
        <f t="shared" si="388"/>
        <v xml:space="preserve">Oil Heater (SFH 17kW)_Anglikon_B-LVL_SFH </v>
      </c>
      <c r="B515" t="s">
        <v>223</v>
      </c>
      <c r="C515" t="s">
        <v>271</v>
      </c>
      <c r="D515" t="s">
        <v>162</v>
      </c>
      <c r="E515" t="s">
        <v>11</v>
      </c>
      <c r="F515" s="3">
        <v>1.7000000000000001E-2</v>
      </c>
      <c r="I515">
        <v>1.7000000000000001E-2</v>
      </c>
      <c r="J515">
        <f t="shared" si="389"/>
        <v>4.7430000000000003</v>
      </c>
      <c r="K515" t="s">
        <v>162</v>
      </c>
      <c r="M515" s="2">
        <v>279</v>
      </c>
    </row>
    <row r="516" spans="1:13">
      <c r="A516" s="1" t="str">
        <f t="shared" si="388"/>
        <v xml:space="preserve">Oil Heater (SFH 17kW)_Oberdorf_B-LVL_SFH </v>
      </c>
      <c r="B516" t="s">
        <v>223</v>
      </c>
      <c r="C516" t="s">
        <v>272</v>
      </c>
      <c r="D516" t="s">
        <v>162</v>
      </c>
      <c r="E516" t="s">
        <v>11</v>
      </c>
      <c r="F516" s="3">
        <v>1.7000000000000001E-2</v>
      </c>
      <c r="I516">
        <v>1.7000000000000001E-2</v>
      </c>
      <c r="J516">
        <f t="shared" si="389"/>
        <v>9.01</v>
      </c>
      <c r="K516" t="s">
        <v>162</v>
      </c>
      <c r="M516" s="2">
        <v>530</v>
      </c>
    </row>
    <row r="517" spans="1:13">
      <c r="A517" s="1" t="str">
        <f t="shared" si="388"/>
        <v xml:space="preserve">Oil Heater (SFH 17kW)_Town_B-LVL_SFH </v>
      </c>
      <c r="B517" t="s">
        <v>223</v>
      </c>
      <c r="C517" t="s">
        <v>273</v>
      </c>
      <c r="D517" t="s">
        <v>162</v>
      </c>
      <c r="E517" t="s">
        <v>11</v>
      </c>
      <c r="F517" s="3">
        <v>1.7000000000000001E-2</v>
      </c>
      <c r="I517">
        <v>1.7000000000000001E-2</v>
      </c>
      <c r="J517">
        <f t="shared" si="389"/>
        <v>29.138000000000002</v>
      </c>
      <c r="K517" t="s">
        <v>162</v>
      </c>
      <c r="M517" s="2">
        <v>1714</v>
      </c>
    </row>
    <row r="518" spans="1:13">
      <c r="A518" s="1" t="str">
        <f t="shared" si="388"/>
        <v xml:space="preserve">OpenField PV 1MW_D-LVL_Anglikon </v>
      </c>
      <c r="B518" t="s">
        <v>223</v>
      </c>
      <c r="C518" t="s">
        <v>274</v>
      </c>
      <c r="D518" t="s">
        <v>162</v>
      </c>
      <c r="E518" t="s">
        <v>11</v>
      </c>
      <c r="F518" s="3">
        <v>1</v>
      </c>
      <c r="I518">
        <v>1</v>
      </c>
      <c r="J518">
        <f t="shared" si="389"/>
        <v>111</v>
      </c>
      <c r="K518" t="s">
        <v>162</v>
      </c>
      <c r="M518" s="2">
        <v>111</v>
      </c>
    </row>
    <row r="519" spans="1:13">
      <c r="A519" s="1" t="str">
        <f t="shared" si="388"/>
        <v xml:space="preserve">OpenField PV 1MW_D-LVL_Oberdorf </v>
      </c>
      <c r="B519" t="s">
        <v>223</v>
      </c>
      <c r="C519" t="s">
        <v>275</v>
      </c>
      <c r="D519" t="s">
        <v>162</v>
      </c>
      <c r="E519" t="s">
        <v>11</v>
      </c>
      <c r="F519" s="3">
        <v>1</v>
      </c>
      <c r="I519">
        <v>1</v>
      </c>
      <c r="J519">
        <f t="shared" si="389"/>
        <v>111</v>
      </c>
      <c r="K519" t="s">
        <v>162</v>
      </c>
      <c r="M519" s="2">
        <v>111</v>
      </c>
    </row>
    <row r="520" spans="1:13">
      <c r="A520" s="1" t="str">
        <f t="shared" si="388"/>
        <v xml:space="preserve">OpenField PV 1MW_D-LVL_Town </v>
      </c>
      <c r="B520" t="s">
        <v>223</v>
      </c>
      <c r="C520" t="s">
        <v>276</v>
      </c>
      <c r="D520" t="s">
        <v>162</v>
      </c>
      <c r="E520" t="s">
        <v>11</v>
      </c>
      <c r="F520" s="3">
        <v>1</v>
      </c>
      <c r="I520">
        <v>1</v>
      </c>
      <c r="J520">
        <f t="shared" si="389"/>
        <v>111</v>
      </c>
      <c r="K520" t="s">
        <v>162</v>
      </c>
      <c r="M520" s="2">
        <v>111</v>
      </c>
    </row>
    <row r="521" spans="1:13">
      <c r="A521" s="1" t="str">
        <f t="shared" si="388"/>
        <v xml:space="preserve">PTES Seasonal 4.5GWh_D-LVL_Anglikon </v>
      </c>
      <c r="B521" t="s">
        <v>223</v>
      </c>
      <c r="C521" t="s">
        <v>213</v>
      </c>
      <c r="D521" t="s">
        <v>162</v>
      </c>
      <c r="E521" t="s">
        <v>11</v>
      </c>
      <c r="F521" s="3">
        <v>70</v>
      </c>
      <c r="I521">
        <v>70</v>
      </c>
      <c r="J521">
        <f t="shared" si="389"/>
        <v>700</v>
      </c>
      <c r="K521" t="s">
        <v>162</v>
      </c>
      <c r="M521" s="2">
        <v>10</v>
      </c>
    </row>
    <row r="522" spans="1:13">
      <c r="A522" s="1" t="str">
        <f t="shared" si="388"/>
        <v xml:space="preserve">PTES Seasonal 4.5GWh_D-LVL_Oberdorf </v>
      </c>
      <c r="B522" t="s">
        <v>223</v>
      </c>
      <c r="C522" t="s">
        <v>214</v>
      </c>
      <c r="D522" t="s">
        <v>162</v>
      </c>
      <c r="E522" t="s">
        <v>11</v>
      </c>
      <c r="F522" s="3">
        <v>70</v>
      </c>
      <c r="I522">
        <v>70</v>
      </c>
      <c r="J522">
        <f t="shared" si="389"/>
        <v>700</v>
      </c>
      <c r="K522" t="s">
        <v>162</v>
      </c>
      <c r="M522" s="2">
        <v>10</v>
      </c>
    </row>
    <row r="523" spans="1:13">
      <c r="A523" s="1" t="str">
        <f t="shared" si="388"/>
        <v xml:space="preserve">PTES Seasonal 4.5GWh_D-LVL_Town </v>
      </c>
      <c r="B523" t="s">
        <v>223</v>
      </c>
      <c r="C523" t="s">
        <v>215</v>
      </c>
      <c r="D523" t="s">
        <v>162</v>
      </c>
      <c r="E523" t="s">
        <v>11</v>
      </c>
      <c r="F523" s="3">
        <v>70</v>
      </c>
      <c r="I523">
        <v>70</v>
      </c>
      <c r="J523">
        <f t="shared" si="389"/>
        <v>700</v>
      </c>
      <c r="K523" t="s">
        <v>162</v>
      </c>
      <c r="M523" s="2">
        <v>10</v>
      </c>
    </row>
    <row r="524" spans="1:13">
      <c r="A524" s="1" t="str">
        <f t="shared" si="388"/>
        <v xml:space="preserve">Rooftop PV 10kW_Anglikon_B-LVL_SFH </v>
      </c>
      <c r="B524" t="s">
        <v>223</v>
      </c>
      <c r="C524" t="s">
        <v>277</v>
      </c>
      <c r="D524" t="s">
        <v>162</v>
      </c>
      <c r="E524" t="s">
        <v>11</v>
      </c>
      <c r="F524" s="3">
        <v>0.01</v>
      </c>
      <c r="I524">
        <v>0.01</v>
      </c>
      <c r="J524">
        <f t="shared" si="389"/>
        <v>2.79</v>
      </c>
      <c r="K524" t="s">
        <v>162</v>
      </c>
      <c r="M524" s="2">
        <v>279</v>
      </c>
    </row>
    <row r="525" spans="1:13">
      <c r="A525" s="1" t="str">
        <f t="shared" si="388"/>
        <v xml:space="preserve">Rooftop PV 10kW_Oberdorf_B-LVL_SFH </v>
      </c>
      <c r="B525" t="s">
        <v>223</v>
      </c>
      <c r="C525" t="s">
        <v>278</v>
      </c>
      <c r="D525" t="s">
        <v>162</v>
      </c>
      <c r="E525" t="s">
        <v>11</v>
      </c>
      <c r="F525" s="3">
        <v>0.01</v>
      </c>
      <c r="I525">
        <v>0.01</v>
      </c>
      <c r="J525">
        <f t="shared" si="389"/>
        <v>5.3</v>
      </c>
      <c r="K525" t="s">
        <v>162</v>
      </c>
      <c r="M525" s="2">
        <v>530</v>
      </c>
    </row>
    <row r="526" spans="1:13">
      <c r="A526" s="1" t="str">
        <f t="shared" si="388"/>
        <v xml:space="preserve">Rooftop PV 10kW_Town_B-LVL_SFH </v>
      </c>
      <c r="B526" t="s">
        <v>223</v>
      </c>
      <c r="C526" t="s">
        <v>279</v>
      </c>
      <c r="D526" t="s">
        <v>162</v>
      </c>
      <c r="E526" t="s">
        <v>11</v>
      </c>
      <c r="F526" s="3">
        <v>0.01</v>
      </c>
      <c r="I526">
        <v>0.01</v>
      </c>
      <c r="J526">
        <f t="shared" si="389"/>
        <v>17.14</v>
      </c>
      <c r="K526" t="s">
        <v>162</v>
      </c>
      <c r="M526" s="2">
        <v>1714</v>
      </c>
    </row>
    <row r="527" spans="1:13">
      <c r="A527" s="1" t="str">
        <f t="shared" si="388"/>
        <v xml:space="preserve">Rooftop PV 30kW_Anglikon_B-LVL_MFH </v>
      </c>
      <c r="B527" t="s">
        <v>223</v>
      </c>
      <c r="C527" t="s">
        <v>280</v>
      </c>
      <c r="D527" t="s">
        <v>162</v>
      </c>
      <c r="E527" t="s">
        <v>11</v>
      </c>
      <c r="F527" s="3">
        <v>0.03</v>
      </c>
      <c r="I527">
        <v>0.03</v>
      </c>
      <c r="J527">
        <f t="shared" si="389"/>
        <v>1.3199999999999998</v>
      </c>
      <c r="K527" t="s">
        <v>162</v>
      </c>
      <c r="M527" s="2">
        <v>44</v>
      </c>
    </row>
    <row r="528" spans="1:13">
      <c r="A528" s="1" t="str">
        <f t="shared" si="388"/>
        <v xml:space="preserve">Rooftop PV 30kW_Oberdorf_B-LVL_MFH </v>
      </c>
      <c r="B528" t="s">
        <v>223</v>
      </c>
      <c r="C528" t="s">
        <v>281</v>
      </c>
      <c r="D528" t="s">
        <v>162</v>
      </c>
      <c r="E528" t="s">
        <v>11</v>
      </c>
      <c r="F528" s="3">
        <v>0.03</v>
      </c>
      <c r="I528">
        <v>0.03</v>
      </c>
      <c r="J528">
        <f t="shared" si="389"/>
        <v>2.13</v>
      </c>
      <c r="K528" t="s">
        <v>162</v>
      </c>
      <c r="M528" s="2">
        <v>71</v>
      </c>
    </row>
    <row r="529" spans="1:13">
      <c r="A529" s="1" t="str">
        <f t="shared" si="388"/>
        <v xml:space="preserve">Rooftop PV 30kW_Town_B-LVL_MFH </v>
      </c>
      <c r="B529" t="s">
        <v>223</v>
      </c>
      <c r="C529" t="s">
        <v>282</v>
      </c>
      <c r="D529" t="s">
        <v>162</v>
      </c>
      <c r="E529" t="s">
        <v>11</v>
      </c>
      <c r="F529" s="3">
        <v>0.03</v>
      </c>
      <c r="I529">
        <v>0.03</v>
      </c>
      <c r="J529">
        <f t="shared" si="389"/>
        <v>16.11</v>
      </c>
      <c r="K529" t="s">
        <v>162</v>
      </c>
      <c r="M529" s="2">
        <v>537</v>
      </c>
    </row>
    <row r="530" spans="1:13" ht="150">
      <c r="A530" s="1" t="str">
        <f t="shared" si="388"/>
        <v xml:space="preserve">Vanadium Redox Flow Battery 2MWh_Anglikon_B-LVL_MFH </v>
      </c>
      <c r="B530" t="s">
        <v>223</v>
      </c>
      <c r="C530" t="s">
        <v>216</v>
      </c>
      <c r="D530" t="s">
        <v>162</v>
      </c>
      <c r="E530" t="s">
        <v>11</v>
      </c>
      <c r="F530" s="3" t="s">
        <v>217</v>
      </c>
      <c r="I530">
        <v>0.5</v>
      </c>
      <c r="J530">
        <f t="shared" si="389"/>
        <v>22</v>
      </c>
      <c r="K530" t="s">
        <v>162</v>
      </c>
      <c r="M530" s="2">
        <v>44</v>
      </c>
    </row>
    <row r="531" spans="1:13" ht="150">
      <c r="A531" s="1" t="str">
        <f t="shared" si="388"/>
        <v xml:space="preserve">Vanadium Redox Flow Battery 2MWh_Anglikon_B-LVL_SFH </v>
      </c>
      <c r="B531" t="s">
        <v>223</v>
      </c>
      <c r="C531" t="s">
        <v>218</v>
      </c>
      <c r="D531" t="s">
        <v>162</v>
      </c>
      <c r="E531" t="s">
        <v>11</v>
      </c>
      <c r="F531" s="3" t="s">
        <v>217</v>
      </c>
      <c r="I531">
        <v>0.5</v>
      </c>
      <c r="J531">
        <f t="shared" si="389"/>
        <v>139.5</v>
      </c>
      <c r="K531" t="s">
        <v>162</v>
      </c>
      <c r="M531" s="2">
        <v>279</v>
      </c>
    </row>
    <row r="532" spans="1:13" ht="150">
      <c r="A532" s="1" t="str">
        <f t="shared" si="388"/>
        <v xml:space="preserve">Vanadium Redox Flow Battery 2MWh_Oberdorf_B-LVL_MFH </v>
      </c>
      <c r="B532" t="s">
        <v>223</v>
      </c>
      <c r="C532" t="s">
        <v>219</v>
      </c>
      <c r="D532" t="s">
        <v>162</v>
      </c>
      <c r="E532" t="s">
        <v>11</v>
      </c>
      <c r="F532" s="3" t="s">
        <v>217</v>
      </c>
      <c r="I532">
        <v>0.5</v>
      </c>
      <c r="J532">
        <f t="shared" si="389"/>
        <v>35.5</v>
      </c>
      <c r="K532" t="s">
        <v>162</v>
      </c>
      <c r="M532" s="2">
        <v>71</v>
      </c>
    </row>
    <row r="533" spans="1:13" ht="150">
      <c r="A533" s="1" t="str">
        <f t="shared" si="388"/>
        <v xml:space="preserve">Vanadium Redox Flow Battery 2MWh_Oberdorf_B-LVL_SFH </v>
      </c>
      <c r="B533" t="s">
        <v>223</v>
      </c>
      <c r="C533" t="s">
        <v>220</v>
      </c>
      <c r="D533" t="s">
        <v>162</v>
      </c>
      <c r="E533" t="s">
        <v>11</v>
      </c>
      <c r="F533" s="3" t="s">
        <v>217</v>
      </c>
      <c r="I533">
        <v>0.5</v>
      </c>
      <c r="J533">
        <f t="shared" si="389"/>
        <v>265</v>
      </c>
      <c r="K533" t="s">
        <v>162</v>
      </c>
      <c r="M533" s="2">
        <v>530</v>
      </c>
    </row>
    <row r="534" spans="1:13" ht="150">
      <c r="A534" s="1" t="str">
        <f t="shared" si="388"/>
        <v xml:space="preserve">Vanadium Redox Flow Battery 2MWh_Town_B-LVL_MFH </v>
      </c>
      <c r="B534" t="s">
        <v>223</v>
      </c>
      <c r="C534" t="s">
        <v>221</v>
      </c>
      <c r="D534" t="s">
        <v>162</v>
      </c>
      <c r="E534" t="s">
        <v>11</v>
      </c>
      <c r="F534" s="3" t="s">
        <v>217</v>
      </c>
      <c r="I534">
        <v>0.5</v>
      </c>
      <c r="J534">
        <f t="shared" si="389"/>
        <v>268.5</v>
      </c>
      <c r="K534" t="s">
        <v>162</v>
      </c>
      <c r="M534" s="2">
        <v>537</v>
      </c>
    </row>
    <row r="535" spans="1:13" ht="150">
      <c r="A535" s="1" t="str">
        <f t="shared" si="388"/>
        <v xml:space="preserve">Vanadium Redox Flow Battery 2MWh_Town_B-LVL_SFH </v>
      </c>
      <c r="B535" t="s">
        <v>223</v>
      </c>
      <c r="C535" t="s">
        <v>222</v>
      </c>
      <c r="D535" t="s">
        <v>162</v>
      </c>
      <c r="E535" t="s">
        <v>11</v>
      </c>
      <c r="F535" s="3" t="s">
        <v>217</v>
      </c>
      <c r="I535">
        <v>0.5</v>
      </c>
      <c r="J535">
        <f t="shared" si="389"/>
        <v>857</v>
      </c>
      <c r="K535" t="s">
        <v>162</v>
      </c>
      <c r="M535" s="2">
        <v>1714</v>
      </c>
    </row>
    <row r="536" spans="1:13">
      <c r="A536" s="1" t="str">
        <f t="shared" si="388"/>
        <v xml:space="preserve">Wind Turbine 2 (onshore-3.3MW)_D-LVL_Town </v>
      </c>
      <c r="B536" t="s">
        <v>223</v>
      </c>
      <c r="C536" t="s">
        <v>283</v>
      </c>
      <c r="D536" t="s">
        <v>162</v>
      </c>
      <c r="E536" t="s">
        <v>11</v>
      </c>
      <c r="F536" s="3">
        <v>3.3</v>
      </c>
      <c r="I536">
        <v>3.3</v>
      </c>
      <c r="J536">
        <f t="shared" si="389"/>
        <v>3.3</v>
      </c>
      <c r="K536" t="s">
        <v>162</v>
      </c>
      <c r="M536" s="2">
        <v>1</v>
      </c>
    </row>
    <row r="537" spans="1:13">
      <c r="A537" s="1" t="str">
        <f t="shared" si="388"/>
        <v xml:space="preserve">Wind Turbine (onshore-3.3MW)_D-LVL_Anglikon </v>
      </c>
      <c r="B537" t="s">
        <v>223</v>
      </c>
      <c r="C537" t="s">
        <v>284</v>
      </c>
      <c r="D537" t="s">
        <v>162</v>
      </c>
      <c r="E537" t="s">
        <v>11</v>
      </c>
      <c r="F537" s="3">
        <v>3.3</v>
      </c>
      <c r="I537">
        <v>3.3</v>
      </c>
      <c r="J537">
        <f t="shared" si="389"/>
        <v>3.3</v>
      </c>
      <c r="K537" t="s">
        <v>162</v>
      </c>
      <c r="M537" s="2">
        <v>1</v>
      </c>
    </row>
    <row r="538" spans="1:13">
      <c r="A538" s="1" t="str">
        <f t="shared" si="388"/>
        <v xml:space="preserve">Wind Turbine (onshore-3.3MW)_D-LVL_Oberdorf </v>
      </c>
      <c r="B538" t="s">
        <v>223</v>
      </c>
      <c r="C538" t="s">
        <v>285</v>
      </c>
      <c r="D538" t="s">
        <v>162</v>
      </c>
      <c r="E538" t="s">
        <v>11</v>
      </c>
      <c r="F538" s="3">
        <v>3.3</v>
      </c>
      <c r="I538">
        <v>3.3</v>
      </c>
      <c r="J538">
        <f t="shared" si="389"/>
        <v>3.3</v>
      </c>
      <c r="K538" t="s">
        <v>162</v>
      </c>
      <c r="M538" s="2">
        <v>1</v>
      </c>
    </row>
    <row r="539" spans="1:13">
      <c r="A539" s="1" t="str">
        <f t="shared" si="388"/>
        <v xml:space="preserve">Wind Turbine (onshore-3.3MW)_D-LVL_Town </v>
      </c>
      <c r="B539" t="s">
        <v>223</v>
      </c>
      <c r="C539" t="s">
        <v>286</v>
      </c>
      <c r="D539" t="s">
        <v>162</v>
      </c>
      <c r="E539" t="s">
        <v>11</v>
      </c>
      <c r="F539" s="3">
        <v>3.3</v>
      </c>
      <c r="I539">
        <v>3.3</v>
      </c>
      <c r="J539">
        <f t="shared" si="389"/>
        <v>3.3</v>
      </c>
      <c r="K539" t="s">
        <v>162</v>
      </c>
      <c r="M539" s="2">
        <v>1</v>
      </c>
    </row>
    <row r="540" spans="1:13">
      <c r="A540" s="1" t="str">
        <f t="shared" si="388"/>
        <v xml:space="preserve">Wood Heater (MFH 80kW)_Anglikon_B-LVL_MFH </v>
      </c>
      <c r="B540" t="s">
        <v>223</v>
      </c>
      <c r="C540" t="s">
        <v>287</v>
      </c>
      <c r="D540" t="s">
        <v>162</v>
      </c>
      <c r="E540" t="s">
        <v>11</v>
      </c>
      <c r="F540" s="3">
        <v>0.08</v>
      </c>
      <c r="I540">
        <v>0.08</v>
      </c>
      <c r="J540">
        <f t="shared" si="389"/>
        <v>3.52</v>
      </c>
      <c r="K540" t="s">
        <v>162</v>
      </c>
      <c r="M540" s="2">
        <v>44</v>
      </c>
    </row>
    <row r="541" spans="1:13">
      <c r="A541" s="1" t="str">
        <f t="shared" si="388"/>
        <v xml:space="preserve">Wood Heater (MFH 80kW)_Oberdorf_B-LVL_MFH </v>
      </c>
      <c r="B541" t="s">
        <v>223</v>
      </c>
      <c r="C541" t="s">
        <v>288</v>
      </c>
      <c r="D541" t="s">
        <v>162</v>
      </c>
      <c r="E541" t="s">
        <v>11</v>
      </c>
      <c r="F541" s="3">
        <v>0.08</v>
      </c>
      <c r="I541">
        <v>0.08</v>
      </c>
      <c r="J541">
        <f t="shared" si="389"/>
        <v>5.68</v>
      </c>
      <c r="K541" t="s">
        <v>162</v>
      </c>
      <c r="M541" s="2">
        <v>71</v>
      </c>
    </row>
    <row r="542" spans="1:13">
      <c r="A542" s="1" t="str">
        <f t="shared" si="388"/>
        <v xml:space="preserve">Wood Heater (MFH 80kW)_Town_B-LVL_MFH </v>
      </c>
      <c r="B542" t="s">
        <v>223</v>
      </c>
      <c r="C542" t="s">
        <v>289</v>
      </c>
      <c r="D542" t="s">
        <v>162</v>
      </c>
      <c r="E542" t="s">
        <v>11</v>
      </c>
      <c r="F542" s="3">
        <v>0.08</v>
      </c>
      <c r="I542">
        <v>0.08</v>
      </c>
      <c r="J542">
        <f t="shared" si="389"/>
        <v>42.96</v>
      </c>
      <c r="K542" t="s">
        <v>162</v>
      </c>
      <c r="M542" s="2">
        <v>537</v>
      </c>
    </row>
    <row r="543" spans="1:13">
      <c r="A543" s="1" t="str">
        <f t="shared" si="388"/>
        <v xml:space="preserve">Wood Heater (SFH 17kW)_Anglikon_B-LVL_SFH </v>
      </c>
      <c r="B543" t="s">
        <v>223</v>
      </c>
      <c r="C543" t="s">
        <v>290</v>
      </c>
      <c r="D543" t="s">
        <v>162</v>
      </c>
      <c r="E543" t="s">
        <v>11</v>
      </c>
      <c r="F543" s="3">
        <v>1.7000000000000001E-2</v>
      </c>
      <c r="I543">
        <v>1.7000000000000001E-2</v>
      </c>
      <c r="J543">
        <f t="shared" si="389"/>
        <v>4.7430000000000003</v>
      </c>
      <c r="K543" t="s">
        <v>162</v>
      </c>
      <c r="M543" s="2">
        <v>279</v>
      </c>
    </row>
    <row r="544" spans="1:13">
      <c r="A544" s="1" t="str">
        <f t="shared" si="388"/>
        <v xml:space="preserve">Wood Heater (SFH 17kW)_Oberdorf_B-LVL_SFH </v>
      </c>
      <c r="B544" t="s">
        <v>223</v>
      </c>
      <c r="C544" t="s">
        <v>291</v>
      </c>
      <c r="D544" t="s">
        <v>162</v>
      </c>
      <c r="E544" t="s">
        <v>11</v>
      </c>
      <c r="F544" s="3">
        <v>1.7000000000000001E-2</v>
      </c>
      <c r="I544">
        <v>1.7000000000000001E-2</v>
      </c>
      <c r="J544">
        <f t="shared" si="389"/>
        <v>9.01</v>
      </c>
      <c r="K544" t="s">
        <v>162</v>
      </c>
      <c r="M544" s="2">
        <v>530</v>
      </c>
    </row>
    <row r="545" spans="1:13">
      <c r="A545" s="1" t="str">
        <f t="shared" si="388"/>
        <v xml:space="preserve">Wood Heater (SFH 17kW)_Town_B-LVL_SFH </v>
      </c>
      <c r="B545" t="s">
        <v>223</v>
      </c>
      <c r="C545" t="s">
        <v>292</v>
      </c>
      <c r="D545" t="s">
        <v>162</v>
      </c>
      <c r="E545" t="s">
        <v>11</v>
      </c>
      <c r="F545" s="3">
        <v>1.7000000000000001E-2</v>
      </c>
      <c r="I545">
        <v>1.7000000000000001E-2</v>
      </c>
      <c r="J545">
        <f t="shared" si="389"/>
        <v>29.138000000000002</v>
      </c>
      <c r="K545" t="s">
        <v>162</v>
      </c>
      <c r="M545" s="2">
        <v>1714</v>
      </c>
    </row>
    <row r="546" spans="1:13">
      <c r="A546" s="1" t="str">
        <f t="shared" si="388"/>
        <v xml:space="preserve">Wood Pellet CHP (25 MW)_D-LVL_Anglikon </v>
      </c>
      <c r="B546" t="s">
        <v>223</v>
      </c>
      <c r="C546" t="s">
        <v>293</v>
      </c>
      <c r="D546" t="s">
        <v>162</v>
      </c>
      <c r="E546" t="s">
        <v>11</v>
      </c>
      <c r="F546" s="3">
        <v>40</v>
      </c>
      <c r="I546">
        <v>40</v>
      </c>
      <c r="J546">
        <f t="shared" si="389"/>
        <v>400</v>
      </c>
      <c r="K546" t="s">
        <v>162</v>
      </c>
      <c r="M546" s="2">
        <v>10</v>
      </c>
    </row>
    <row r="547" spans="1:13">
      <c r="A547" s="1" t="str">
        <f t="shared" si="388"/>
        <v xml:space="preserve">Wood Pellet CHP (25 MW)_D-LVL_Anglikon </v>
      </c>
      <c r="B547" t="s">
        <v>223</v>
      </c>
      <c r="C547" t="s">
        <v>294</v>
      </c>
      <c r="D547" t="s">
        <v>162</v>
      </c>
      <c r="E547" t="s">
        <v>11</v>
      </c>
      <c r="F547" s="3">
        <v>40</v>
      </c>
      <c r="I547">
        <v>40</v>
      </c>
      <c r="J547">
        <f t="shared" si="389"/>
        <v>400</v>
      </c>
      <c r="K547" t="s">
        <v>162</v>
      </c>
      <c r="M547" s="2">
        <v>10</v>
      </c>
    </row>
    <row r="548" spans="1:13">
      <c r="A548" s="1" t="str">
        <f t="shared" si="388"/>
        <v xml:space="preserve">Wood Pellet CHP (25 MW)_D-LVL_Oberdorf </v>
      </c>
      <c r="B548" t="s">
        <v>223</v>
      </c>
      <c r="C548" t="s">
        <v>295</v>
      </c>
      <c r="D548" t="s">
        <v>162</v>
      </c>
      <c r="E548" t="s">
        <v>11</v>
      </c>
      <c r="F548" s="3">
        <v>40</v>
      </c>
      <c r="I548">
        <v>40</v>
      </c>
      <c r="J548">
        <f t="shared" si="389"/>
        <v>400</v>
      </c>
      <c r="K548" t="s">
        <v>162</v>
      </c>
      <c r="M548" s="2">
        <v>10</v>
      </c>
    </row>
    <row r="549" spans="1:13">
      <c r="A549" s="1" t="str">
        <f t="shared" si="388"/>
        <v xml:space="preserve">Wood Pellet CHP (25 MW)_D-LVL_Oberdorf </v>
      </c>
      <c r="B549" t="s">
        <v>223</v>
      </c>
      <c r="C549" t="s">
        <v>296</v>
      </c>
      <c r="D549" t="s">
        <v>162</v>
      </c>
      <c r="E549" t="s">
        <v>11</v>
      </c>
      <c r="F549" s="3">
        <v>40</v>
      </c>
      <c r="I549">
        <v>40</v>
      </c>
      <c r="J549">
        <f t="shared" si="389"/>
        <v>400</v>
      </c>
      <c r="K549" t="s">
        <v>162</v>
      </c>
      <c r="M549" s="2">
        <v>10</v>
      </c>
    </row>
    <row r="550" spans="1:13">
      <c r="A550" s="1" t="str">
        <f t="shared" si="388"/>
        <v xml:space="preserve">Wood Pellet CHP (25 MW)_D-LVL_Town </v>
      </c>
      <c r="B550" t="s">
        <v>223</v>
      </c>
      <c r="C550" t="s">
        <v>297</v>
      </c>
      <c r="D550" t="s">
        <v>162</v>
      </c>
      <c r="E550" t="s">
        <v>11</v>
      </c>
      <c r="F550" s="3">
        <v>40</v>
      </c>
      <c r="I550">
        <v>40</v>
      </c>
      <c r="J550">
        <f t="shared" si="389"/>
        <v>400</v>
      </c>
      <c r="K550" t="s">
        <v>162</v>
      </c>
      <c r="M550" s="2">
        <v>10</v>
      </c>
    </row>
    <row r="551" spans="1:13">
      <c r="A551" s="1" t="str">
        <f t="shared" si="388"/>
        <v xml:space="preserve">Wood Pellet CHP (25 MW)_D-LVL_Town </v>
      </c>
      <c r="B551" t="s">
        <v>223</v>
      </c>
      <c r="C551" t="s">
        <v>298</v>
      </c>
      <c r="D551" t="s">
        <v>162</v>
      </c>
      <c r="E551" t="s">
        <v>11</v>
      </c>
      <c r="F551" s="3">
        <v>40</v>
      </c>
      <c r="I551">
        <v>40</v>
      </c>
      <c r="J551">
        <f t="shared" si="389"/>
        <v>400</v>
      </c>
      <c r="K551" t="s">
        <v>162</v>
      </c>
      <c r="M551" s="2">
        <v>10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82B20-481E-47D1-B1AA-ADDC1946C669}">
  <dimension ref="B1:I79"/>
  <sheetViews>
    <sheetView workbookViewId="0">
      <selection activeCell="L5" sqref="L5"/>
    </sheetView>
  </sheetViews>
  <sheetFormatPr defaultRowHeight="15"/>
  <cols>
    <col min="2" max="2" width="24.7109375" customWidth="1"/>
    <col min="3" max="3" width="51.42578125" customWidth="1"/>
    <col min="4" max="4" width="31.7109375" customWidth="1"/>
    <col min="7" max="7" width="6.5703125" bestFit="1" customWidth="1"/>
    <col min="8" max="8" width="15" bestFit="1" customWidth="1"/>
    <col min="9" max="9" width="10.28515625" bestFit="1" customWidth="1"/>
  </cols>
  <sheetData>
    <row r="1" spans="2:9" ht="30"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tr">
        <f>'units(old)'!H1</f>
        <v>NOTES</v>
      </c>
      <c r="H1" t="str">
        <f>'units(old)'!I1</f>
        <v>cleanup (original)</v>
      </c>
      <c r="I1" t="str">
        <f>'units(old)'!J1</f>
        <v>value (mga)</v>
      </c>
    </row>
    <row r="2" spans="2:9">
      <c r="B2" t="s">
        <v>299</v>
      </c>
      <c r="C2" t="s">
        <v>31</v>
      </c>
      <c r="D2" t="s">
        <v>300</v>
      </c>
      <c r="E2" t="s">
        <v>11</v>
      </c>
      <c r="F2">
        <v>10</v>
      </c>
      <c r="H2">
        <v>10</v>
      </c>
      <c r="I2">
        <f>1</f>
        <v>1</v>
      </c>
    </row>
    <row r="3" spans="2:9">
      <c r="B3" t="s">
        <v>299</v>
      </c>
      <c r="C3" t="s">
        <v>31</v>
      </c>
      <c r="D3" t="s">
        <v>301</v>
      </c>
      <c r="E3" t="s">
        <v>11</v>
      </c>
      <c r="F3">
        <v>150000</v>
      </c>
      <c r="H3">
        <v>150000</v>
      </c>
      <c r="I3">
        <f>H3*H2</f>
        <v>1500000</v>
      </c>
    </row>
    <row r="4" spans="2:9">
      <c r="B4" t="s">
        <v>299</v>
      </c>
      <c r="C4" t="s">
        <v>33</v>
      </c>
      <c r="D4" t="s">
        <v>300</v>
      </c>
      <c r="E4" t="s">
        <v>11</v>
      </c>
      <c r="F4">
        <v>10</v>
      </c>
      <c r="H4">
        <v>10</v>
      </c>
      <c r="I4">
        <f>1</f>
        <v>1</v>
      </c>
    </row>
    <row r="5" spans="2:9">
      <c r="B5" t="s">
        <v>299</v>
      </c>
      <c r="C5" t="s">
        <v>33</v>
      </c>
      <c r="D5" t="s">
        <v>301</v>
      </c>
      <c r="E5" t="s">
        <v>11</v>
      </c>
      <c r="F5">
        <v>150000</v>
      </c>
      <c r="H5">
        <v>150000</v>
      </c>
      <c r="I5">
        <f t="shared" ref="I5" si="0">H5*H4</f>
        <v>1500000</v>
      </c>
    </row>
    <row r="6" spans="2:9">
      <c r="B6" t="s">
        <v>299</v>
      </c>
      <c r="C6" t="s">
        <v>34</v>
      </c>
      <c r="D6" t="s">
        <v>300</v>
      </c>
      <c r="E6" t="s">
        <v>11</v>
      </c>
      <c r="F6">
        <v>10</v>
      </c>
      <c r="H6">
        <v>10</v>
      </c>
      <c r="I6">
        <f>1</f>
        <v>1</v>
      </c>
    </row>
    <row r="7" spans="2:9">
      <c r="B7" t="s">
        <v>299</v>
      </c>
      <c r="C7" t="s">
        <v>34</v>
      </c>
      <c r="D7" t="s">
        <v>301</v>
      </c>
      <c r="E7" t="s">
        <v>11</v>
      </c>
      <c r="F7">
        <v>150000</v>
      </c>
      <c r="H7">
        <v>150000</v>
      </c>
      <c r="I7">
        <f t="shared" ref="I7" si="1">H7*H6</f>
        <v>1500000</v>
      </c>
    </row>
    <row r="8" spans="2:9">
      <c r="B8" t="s">
        <v>299</v>
      </c>
      <c r="C8" t="s">
        <v>41</v>
      </c>
      <c r="D8" t="s">
        <v>300</v>
      </c>
      <c r="E8" t="s">
        <v>11</v>
      </c>
      <c r="F8">
        <v>44</v>
      </c>
      <c r="H8">
        <v>44</v>
      </c>
      <c r="I8">
        <f>1</f>
        <v>1</v>
      </c>
    </row>
    <row r="9" spans="2:9">
      <c r="B9" t="s">
        <v>299</v>
      </c>
      <c r="C9" t="s">
        <v>41</v>
      </c>
      <c r="D9" t="s">
        <v>301</v>
      </c>
      <c r="E9" t="s">
        <v>11</v>
      </c>
      <c r="F9">
        <v>7</v>
      </c>
      <c r="H9">
        <v>7</v>
      </c>
      <c r="I9">
        <f t="shared" ref="I9" si="2">H9*H8</f>
        <v>308</v>
      </c>
    </row>
    <row r="10" spans="2:9">
      <c r="B10" t="s">
        <v>299</v>
      </c>
      <c r="C10" t="s">
        <v>43</v>
      </c>
      <c r="D10" t="s">
        <v>300</v>
      </c>
      <c r="E10" t="s">
        <v>11</v>
      </c>
      <c r="F10">
        <v>279</v>
      </c>
      <c r="H10">
        <v>279</v>
      </c>
      <c r="I10">
        <f>1</f>
        <v>1</v>
      </c>
    </row>
    <row r="11" spans="2:9">
      <c r="B11" t="s">
        <v>299</v>
      </c>
      <c r="C11" t="s">
        <v>43</v>
      </c>
      <c r="D11" t="s">
        <v>301</v>
      </c>
      <c r="E11" t="s">
        <v>11</v>
      </c>
      <c r="F11">
        <v>7</v>
      </c>
      <c r="H11">
        <v>7</v>
      </c>
      <c r="I11">
        <f t="shared" ref="I11" si="3">H11*H10</f>
        <v>1953</v>
      </c>
    </row>
    <row r="12" spans="2:9">
      <c r="B12" t="s">
        <v>299</v>
      </c>
      <c r="C12" t="s">
        <v>44</v>
      </c>
      <c r="D12" t="s">
        <v>300</v>
      </c>
      <c r="E12" t="s">
        <v>11</v>
      </c>
      <c r="F12">
        <v>71</v>
      </c>
      <c r="H12">
        <v>71</v>
      </c>
      <c r="I12">
        <f>1</f>
        <v>1</v>
      </c>
    </row>
    <row r="13" spans="2:9">
      <c r="B13" t="s">
        <v>299</v>
      </c>
      <c r="C13" t="s">
        <v>44</v>
      </c>
      <c r="D13" t="s">
        <v>301</v>
      </c>
      <c r="E13" t="s">
        <v>11</v>
      </c>
      <c r="F13">
        <v>7</v>
      </c>
      <c r="H13">
        <v>7</v>
      </c>
      <c r="I13">
        <f t="shared" ref="I13" si="4">H13*H12</f>
        <v>497</v>
      </c>
    </row>
    <row r="14" spans="2:9">
      <c r="B14" t="s">
        <v>299</v>
      </c>
      <c r="C14" t="s">
        <v>45</v>
      </c>
      <c r="D14" t="s">
        <v>300</v>
      </c>
      <c r="E14" t="s">
        <v>11</v>
      </c>
      <c r="F14">
        <v>530</v>
      </c>
      <c r="H14">
        <v>530</v>
      </c>
      <c r="I14">
        <f>1</f>
        <v>1</v>
      </c>
    </row>
    <row r="15" spans="2:9">
      <c r="B15" t="s">
        <v>299</v>
      </c>
      <c r="C15" t="s">
        <v>45</v>
      </c>
      <c r="D15" t="s">
        <v>301</v>
      </c>
      <c r="E15" t="s">
        <v>11</v>
      </c>
      <c r="F15">
        <v>7</v>
      </c>
      <c r="H15">
        <v>7</v>
      </c>
      <c r="I15">
        <f t="shared" ref="I15" si="5">H15*H14</f>
        <v>3710</v>
      </c>
    </row>
    <row r="16" spans="2:9">
      <c r="B16" t="s">
        <v>299</v>
      </c>
      <c r="C16" t="s">
        <v>46</v>
      </c>
      <c r="D16" t="s">
        <v>300</v>
      </c>
      <c r="E16" t="s">
        <v>11</v>
      </c>
      <c r="F16">
        <v>537</v>
      </c>
      <c r="H16">
        <v>537</v>
      </c>
      <c r="I16">
        <f>1</f>
        <v>1</v>
      </c>
    </row>
    <row r="17" spans="2:9">
      <c r="B17" t="s">
        <v>299</v>
      </c>
      <c r="C17" t="s">
        <v>46</v>
      </c>
      <c r="D17" t="s">
        <v>301</v>
      </c>
      <c r="E17" t="s">
        <v>11</v>
      </c>
      <c r="F17">
        <v>7</v>
      </c>
      <c r="H17">
        <v>7</v>
      </c>
      <c r="I17">
        <f t="shared" ref="I17" si="6">H17*H16</f>
        <v>3759</v>
      </c>
    </row>
    <row r="18" spans="2:9">
      <c r="B18" t="s">
        <v>299</v>
      </c>
      <c r="C18" t="s">
        <v>47</v>
      </c>
      <c r="D18" t="s">
        <v>300</v>
      </c>
      <c r="E18" t="s">
        <v>11</v>
      </c>
      <c r="F18">
        <v>1714</v>
      </c>
      <c r="H18">
        <v>1714</v>
      </c>
      <c r="I18">
        <f>1</f>
        <v>1</v>
      </c>
    </row>
    <row r="19" spans="2:9">
      <c r="B19" t="s">
        <v>299</v>
      </c>
      <c r="C19" t="s">
        <v>47</v>
      </c>
      <c r="D19" t="s">
        <v>301</v>
      </c>
      <c r="E19" t="s">
        <v>11</v>
      </c>
      <c r="F19">
        <v>7</v>
      </c>
      <c r="H19">
        <v>7</v>
      </c>
      <c r="I19">
        <f t="shared" ref="I19" si="7">H19*H18</f>
        <v>11998</v>
      </c>
    </row>
    <row r="20" spans="2:9">
      <c r="B20" t="s">
        <v>299</v>
      </c>
      <c r="C20" t="s">
        <v>48</v>
      </c>
      <c r="D20" t="s">
        <v>300</v>
      </c>
      <c r="E20" t="s">
        <v>11</v>
      </c>
      <c r="F20">
        <v>10</v>
      </c>
      <c r="H20">
        <v>10</v>
      </c>
      <c r="I20">
        <f>1</f>
        <v>1</v>
      </c>
    </row>
    <row r="21" spans="2:9">
      <c r="B21" t="s">
        <v>299</v>
      </c>
      <c r="C21" t="s">
        <v>48</v>
      </c>
      <c r="D21" t="s">
        <v>301</v>
      </c>
      <c r="E21" t="s">
        <v>11</v>
      </c>
      <c r="F21">
        <v>16.7</v>
      </c>
      <c r="H21">
        <v>16.7</v>
      </c>
      <c r="I21">
        <f t="shared" ref="I21" si="8">H21*H20</f>
        <v>167</v>
      </c>
    </row>
    <row r="22" spans="2:9">
      <c r="B22" t="s">
        <v>299</v>
      </c>
      <c r="C22" t="s">
        <v>49</v>
      </c>
      <c r="D22" t="s">
        <v>300</v>
      </c>
      <c r="E22" t="s">
        <v>11</v>
      </c>
      <c r="F22">
        <v>10</v>
      </c>
      <c r="H22">
        <v>10</v>
      </c>
      <c r="I22">
        <f>1</f>
        <v>1</v>
      </c>
    </row>
    <row r="23" spans="2:9">
      <c r="B23" t="s">
        <v>299</v>
      </c>
      <c r="C23" t="s">
        <v>49</v>
      </c>
      <c r="D23" t="s">
        <v>301</v>
      </c>
      <c r="E23" t="s">
        <v>11</v>
      </c>
      <c r="F23">
        <v>16.7</v>
      </c>
      <c r="H23">
        <v>16.7</v>
      </c>
      <c r="I23">
        <f t="shared" ref="I23" si="9">H23*H22</f>
        <v>167</v>
      </c>
    </row>
    <row r="24" spans="2:9">
      <c r="B24" t="s">
        <v>299</v>
      </c>
      <c r="C24" t="s">
        <v>50</v>
      </c>
      <c r="D24" t="s">
        <v>300</v>
      </c>
      <c r="E24" t="s">
        <v>11</v>
      </c>
      <c r="F24">
        <v>10</v>
      </c>
      <c r="H24">
        <v>10</v>
      </c>
      <c r="I24">
        <f>1</f>
        <v>1</v>
      </c>
    </row>
    <row r="25" spans="2:9">
      <c r="B25" t="s">
        <v>299</v>
      </c>
      <c r="C25" t="s">
        <v>50</v>
      </c>
      <c r="D25" t="s">
        <v>301</v>
      </c>
      <c r="E25" t="s">
        <v>11</v>
      </c>
      <c r="F25">
        <v>16.7</v>
      </c>
      <c r="H25">
        <v>16.7</v>
      </c>
      <c r="I25">
        <f t="shared" ref="I25" si="10">H25*H24</f>
        <v>167</v>
      </c>
    </row>
    <row r="26" spans="2:9">
      <c r="B26" t="s">
        <v>299</v>
      </c>
      <c r="C26" t="s">
        <v>94</v>
      </c>
      <c r="D26" t="s">
        <v>300</v>
      </c>
      <c r="E26" t="s">
        <v>11</v>
      </c>
      <c r="F26">
        <v>44</v>
      </c>
      <c r="H26">
        <v>44</v>
      </c>
      <c r="I26">
        <f>1</f>
        <v>1</v>
      </c>
    </row>
    <row r="27" spans="2:9">
      <c r="B27" t="s">
        <v>299</v>
      </c>
      <c r="C27" t="s">
        <v>94</v>
      </c>
      <c r="D27" t="s">
        <v>301</v>
      </c>
      <c r="E27" t="s">
        <v>11</v>
      </c>
      <c r="F27">
        <v>3.0000000000000001E-3</v>
      </c>
      <c r="H27">
        <v>3.0000000000000001E-3</v>
      </c>
      <c r="I27">
        <f t="shared" ref="I27" si="11">H27*H26</f>
        <v>0.13200000000000001</v>
      </c>
    </row>
    <row r="28" spans="2:9">
      <c r="B28" t="s">
        <v>299</v>
      </c>
      <c r="C28" t="s">
        <v>96</v>
      </c>
      <c r="D28" t="s">
        <v>300</v>
      </c>
      <c r="E28" t="s">
        <v>11</v>
      </c>
      <c r="F28">
        <v>279</v>
      </c>
      <c r="H28">
        <v>279</v>
      </c>
      <c r="I28">
        <f>1</f>
        <v>1</v>
      </c>
    </row>
    <row r="29" spans="2:9">
      <c r="B29" t="s">
        <v>299</v>
      </c>
      <c r="C29" t="s">
        <v>96</v>
      </c>
      <c r="D29" t="s">
        <v>301</v>
      </c>
      <c r="E29" t="s">
        <v>11</v>
      </c>
      <c r="F29">
        <v>3.0000000000000001E-3</v>
      </c>
      <c r="H29">
        <v>3.0000000000000001E-3</v>
      </c>
      <c r="I29">
        <f t="shared" ref="I29" si="12">H29*H28</f>
        <v>0.83699999999999997</v>
      </c>
    </row>
    <row r="30" spans="2:9">
      <c r="B30" t="s">
        <v>299</v>
      </c>
      <c r="C30" t="s">
        <v>97</v>
      </c>
      <c r="D30" t="s">
        <v>300</v>
      </c>
      <c r="E30" t="s">
        <v>11</v>
      </c>
      <c r="F30">
        <v>71</v>
      </c>
      <c r="H30">
        <v>71</v>
      </c>
      <c r="I30">
        <f>1</f>
        <v>1</v>
      </c>
    </row>
    <row r="31" spans="2:9">
      <c r="B31" t="s">
        <v>299</v>
      </c>
      <c r="C31" t="s">
        <v>97</v>
      </c>
      <c r="D31" t="s">
        <v>301</v>
      </c>
      <c r="E31" t="s">
        <v>11</v>
      </c>
      <c r="F31">
        <v>3.0000000000000001E-3</v>
      </c>
      <c r="H31">
        <v>3.0000000000000001E-3</v>
      </c>
      <c r="I31">
        <f t="shared" ref="I31" si="13">H31*H30</f>
        <v>0.21299999999999999</v>
      </c>
    </row>
    <row r="32" spans="2:9">
      <c r="B32" t="s">
        <v>299</v>
      </c>
      <c r="C32" t="s">
        <v>98</v>
      </c>
      <c r="D32" t="s">
        <v>300</v>
      </c>
      <c r="E32" t="s">
        <v>11</v>
      </c>
      <c r="F32">
        <v>530</v>
      </c>
      <c r="H32">
        <v>530</v>
      </c>
      <c r="I32">
        <f>1</f>
        <v>1</v>
      </c>
    </row>
    <row r="33" spans="2:9">
      <c r="B33" t="s">
        <v>299</v>
      </c>
      <c r="C33" t="s">
        <v>98</v>
      </c>
      <c r="D33" t="s">
        <v>301</v>
      </c>
      <c r="E33" t="s">
        <v>11</v>
      </c>
      <c r="F33">
        <v>3.0000000000000001E-3</v>
      </c>
      <c r="H33">
        <v>3.0000000000000001E-3</v>
      </c>
      <c r="I33">
        <f t="shared" ref="I33" si="14">H33*H32</f>
        <v>1.59</v>
      </c>
    </row>
    <row r="34" spans="2:9">
      <c r="B34" t="s">
        <v>299</v>
      </c>
      <c r="C34" t="s">
        <v>99</v>
      </c>
      <c r="D34" t="s">
        <v>300</v>
      </c>
      <c r="E34" t="s">
        <v>11</v>
      </c>
      <c r="F34">
        <v>537</v>
      </c>
      <c r="H34">
        <v>537</v>
      </c>
      <c r="I34">
        <f>1</f>
        <v>1</v>
      </c>
    </row>
    <row r="35" spans="2:9">
      <c r="B35" t="s">
        <v>299</v>
      </c>
      <c r="C35" t="s">
        <v>99</v>
      </c>
      <c r="D35" t="s">
        <v>301</v>
      </c>
      <c r="E35" t="s">
        <v>11</v>
      </c>
      <c r="F35">
        <v>3.0000000000000001E-3</v>
      </c>
      <c r="H35">
        <v>3.0000000000000001E-3</v>
      </c>
      <c r="I35">
        <f t="shared" ref="I35" si="15">H35*H34</f>
        <v>1.611</v>
      </c>
    </row>
    <row r="36" spans="2:9">
      <c r="B36" t="s">
        <v>299</v>
      </c>
      <c r="C36" t="s">
        <v>100</v>
      </c>
      <c r="D36" t="s">
        <v>300</v>
      </c>
      <c r="E36" t="s">
        <v>11</v>
      </c>
      <c r="F36">
        <v>1714</v>
      </c>
      <c r="H36">
        <v>1714</v>
      </c>
      <c r="I36">
        <f>1</f>
        <v>1</v>
      </c>
    </row>
    <row r="37" spans="2:9">
      <c r="B37" t="s">
        <v>299</v>
      </c>
      <c r="C37" t="s">
        <v>100</v>
      </c>
      <c r="D37" t="s">
        <v>301</v>
      </c>
      <c r="E37" t="s">
        <v>11</v>
      </c>
      <c r="F37">
        <v>3.0000000000000001E-3</v>
      </c>
      <c r="H37">
        <v>3.0000000000000001E-3</v>
      </c>
      <c r="I37">
        <f t="shared" ref="I37" si="16">H37*H36</f>
        <v>5.1420000000000003</v>
      </c>
    </row>
    <row r="38" spans="2:9">
      <c r="B38" t="s">
        <v>299</v>
      </c>
      <c r="C38" t="s">
        <v>101</v>
      </c>
      <c r="D38" t="s">
        <v>300</v>
      </c>
      <c r="E38" t="s">
        <v>11</v>
      </c>
      <c r="F38">
        <v>10</v>
      </c>
      <c r="H38">
        <v>10</v>
      </c>
      <c r="I38">
        <f>1</f>
        <v>1</v>
      </c>
    </row>
    <row r="39" spans="2:9">
      <c r="B39" t="s">
        <v>299</v>
      </c>
      <c r="C39" t="s">
        <v>101</v>
      </c>
      <c r="D39" t="s">
        <v>301</v>
      </c>
      <c r="E39" t="s">
        <v>11</v>
      </c>
      <c r="F39">
        <v>175</v>
      </c>
      <c r="H39">
        <v>175</v>
      </c>
      <c r="I39">
        <f t="shared" ref="I39" si="17">H39*H38</f>
        <v>1750</v>
      </c>
    </row>
    <row r="40" spans="2:9">
      <c r="B40" t="s">
        <v>299</v>
      </c>
      <c r="C40" t="s">
        <v>102</v>
      </c>
      <c r="D40" t="s">
        <v>300</v>
      </c>
      <c r="E40" t="s">
        <v>11</v>
      </c>
      <c r="F40">
        <v>10</v>
      </c>
      <c r="H40">
        <v>10</v>
      </c>
      <c r="I40">
        <f>1</f>
        <v>1</v>
      </c>
    </row>
    <row r="41" spans="2:9">
      <c r="B41" t="s">
        <v>299</v>
      </c>
      <c r="C41" t="s">
        <v>102</v>
      </c>
      <c r="D41" t="s">
        <v>301</v>
      </c>
      <c r="E41" t="s">
        <v>11</v>
      </c>
      <c r="F41">
        <v>175</v>
      </c>
      <c r="H41">
        <v>175</v>
      </c>
      <c r="I41">
        <f t="shared" ref="I41" si="18">H41*H40</f>
        <v>1750</v>
      </c>
    </row>
    <row r="42" spans="2:9">
      <c r="B42" t="s">
        <v>299</v>
      </c>
      <c r="C42" t="s">
        <v>103</v>
      </c>
      <c r="D42" t="s">
        <v>300</v>
      </c>
      <c r="E42" t="s">
        <v>11</v>
      </c>
      <c r="F42">
        <v>10</v>
      </c>
      <c r="H42">
        <v>10</v>
      </c>
      <c r="I42">
        <f>1</f>
        <v>1</v>
      </c>
    </row>
    <row r="43" spans="2:9">
      <c r="B43" t="s">
        <v>299</v>
      </c>
      <c r="C43" t="s">
        <v>103</v>
      </c>
      <c r="D43" t="s">
        <v>301</v>
      </c>
      <c r="E43" t="s">
        <v>11</v>
      </c>
      <c r="F43">
        <v>175</v>
      </c>
      <c r="H43">
        <v>175</v>
      </c>
      <c r="I43">
        <f t="shared" ref="I43" si="19">H43*H42</f>
        <v>1750</v>
      </c>
    </row>
    <row r="44" spans="2:9">
      <c r="B44" t="s">
        <v>299</v>
      </c>
      <c r="C44" t="s">
        <v>104</v>
      </c>
      <c r="D44" t="s">
        <v>300</v>
      </c>
      <c r="E44" t="s">
        <v>11</v>
      </c>
      <c r="F44">
        <v>50</v>
      </c>
      <c r="H44">
        <v>50</v>
      </c>
      <c r="I44">
        <f>1</f>
        <v>1</v>
      </c>
    </row>
    <row r="45" spans="2:9">
      <c r="B45" t="s">
        <v>299</v>
      </c>
      <c r="C45" t="s">
        <v>104</v>
      </c>
      <c r="D45" t="s">
        <v>301</v>
      </c>
      <c r="E45" t="s">
        <v>11</v>
      </c>
      <c r="F45">
        <v>8</v>
      </c>
      <c r="H45">
        <v>8</v>
      </c>
      <c r="I45">
        <f t="shared" ref="I45" si="20">H45*H44</f>
        <v>400</v>
      </c>
    </row>
    <row r="46" spans="2:9">
      <c r="B46" t="s">
        <v>299</v>
      </c>
      <c r="C46" t="s">
        <v>106</v>
      </c>
      <c r="D46" t="s">
        <v>300</v>
      </c>
      <c r="E46" t="s">
        <v>11</v>
      </c>
      <c r="F46">
        <v>50</v>
      </c>
      <c r="H46">
        <v>50</v>
      </c>
      <c r="I46">
        <f>1</f>
        <v>1</v>
      </c>
    </row>
    <row r="47" spans="2:9">
      <c r="B47" t="s">
        <v>299</v>
      </c>
      <c r="C47" t="s">
        <v>106</v>
      </c>
      <c r="D47" t="s">
        <v>301</v>
      </c>
      <c r="E47" t="s">
        <v>11</v>
      </c>
      <c r="F47">
        <v>8</v>
      </c>
      <c r="H47">
        <v>8</v>
      </c>
      <c r="I47">
        <f t="shared" ref="I47" si="21">H47*H46</f>
        <v>400</v>
      </c>
    </row>
    <row r="48" spans="2:9">
      <c r="B48" t="s">
        <v>299</v>
      </c>
      <c r="C48" t="s">
        <v>107</v>
      </c>
      <c r="D48" t="s">
        <v>300</v>
      </c>
      <c r="E48" t="s">
        <v>11</v>
      </c>
      <c r="F48">
        <v>50</v>
      </c>
      <c r="H48">
        <v>50</v>
      </c>
      <c r="I48">
        <f>1</f>
        <v>1</v>
      </c>
    </row>
    <row r="49" spans="2:9">
      <c r="B49" t="s">
        <v>299</v>
      </c>
      <c r="C49" t="s">
        <v>107</v>
      </c>
      <c r="D49" t="s">
        <v>301</v>
      </c>
      <c r="E49" t="s">
        <v>11</v>
      </c>
      <c r="F49">
        <v>8</v>
      </c>
      <c r="H49">
        <v>8</v>
      </c>
      <c r="I49">
        <f t="shared" ref="I49" si="22">H49*H48</f>
        <v>400</v>
      </c>
    </row>
    <row r="50" spans="2:9">
      <c r="B50" t="s">
        <v>299</v>
      </c>
      <c r="C50" t="s">
        <v>108</v>
      </c>
      <c r="D50" t="s">
        <v>300</v>
      </c>
      <c r="E50" t="s">
        <v>11</v>
      </c>
      <c r="F50">
        <v>10</v>
      </c>
      <c r="H50">
        <v>10</v>
      </c>
      <c r="I50">
        <f>1</f>
        <v>1</v>
      </c>
    </row>
    <row r="51" spans="2:9">
      <c r="B51" t="s">
        <v>299</v>
      </c>
      <c r="C51" t="s">
        <v>108</v>
      </c>
      <c r="D51" t="s">
        <v>301</v>
      </c>
      <c r="E51" t="s">
        <v>11</v>
      </c>
      <c r="F51">
        <v>300</v>
      </c>
      <c r="H51">
        <v>300</v>
      </c>
      <c r="I51">
        <f t="shared" ref="I51" si="23">H51*H50</f>
        <v>3000</v>
      </c>
    </row>
    <row r="52" spans="2:9">
      <c r="B52" t="s">
        <v>299</v>
      </c>
      <c r="C52" t="s">
        <v>109</v>
      </c>
      <c r="D52" t="s">
        <v>300</v>
      </c>
      <c r="E52" t="s">
        <v>11</v>
      </c>
      <c r="F52">
        <v>10</v>
      </c>
      <c r="H52">
        <v>10</v>
      </c>
      <c r="I52">
        <f>1</f>
        <v>1</v>
      </c>
    </row>
    <row r="53" spans="2:9">
      <c r="B53" t="s">
        <v>299</v>
      </c>
      <c r="C53" t="s">
        <v>109</v>
      </c>
      <c r="D53" t="s">
        <v>301</v>
      </c>
      <c r="E53" t="s">
        <v>11</v>
      </c>
      <c r="F53">
        <v>300</v>
      </c>
      <c r="H53">
        <v>300</v>
      </c>
      <c r="I53">
        <f t="shared" ref="I53" si="24">H53*H52</f>
        <v>3000</v>
      </c>
    </row>
    <row r="54" spans="2:9">
      <c r="B54" t="s">
        <v>299</v>
      </c>
      <c r="C54" t="s">
        <v>110</v>
      </c>
      <c r="D54" t="s">
        <v>300</v>
      </c>
      <c r="E54" t="s">
        <v>11</v>
      </c>
      <c r="F54">
        <v>10</v>
      </c>
      <c r="H54">
        <v>10</v>
      </c>
      <c r="I54">
        <f>1</f>
        <v>1</v>
      </c>
    </row>
    <row r="55" spans="2:9">
      <c r="B55" t="s">
        <v>299</v>
      </c>
      <c r="C55" t="s">
        <v>110</v>
      </c>
      <c r="D55" t="s">
        <v>301</v>
      </c>
      <c r="E55" t="s">
        <v>11</v>
      </c>
      <c r="F55">
        <v>300</v>
      </c>
      <c r="H55">
        <v>300</v>
      </c>
      <c r="I55">
        <f t="shared" ref="I55" si="25">H55*H54</f>
        <v>3000</v>
      </c>
    </row>
    <row r="56" spans="2:9">
      <c r="B56" t="s">
        <v>299</v>
      </c>
      <c r="C56" t="s">
        <v>111</v>
      </c>
      <c r="D56" t="s">
        <v>300</v>
      </c>
      <c r="E56" t="s">
        <v>11</v>
      </c>
      <c r="F56">
        <v>10</v>
      </c>
      <c r="H56">
        <v>10</v>
      </c>
      <c r="I56">
        <f>1</f>
        <v>1</v>
      </c>
    </row>
    <row r="57" spans="2:9">
      <c r="B57" t="s">
        <v>299</v>
      </c>
      <c r="C57" t="s">
        <v>111</v>
      </c>
      <c r="D57" t="s">
        <v>301</v>
      </c>
      <c r="E57" t="s">
        <v>11</v>
      </c>
      <c r="F57">
        <v>4.1500000000000004</v>
      </c>
      <c r="H57">
        <v>4.1500000000000004</v>
      </c>
      <c r="I57">
        <f t="shared" ref="I57" si="26">H57*H56</f>
        <v>41.5</v>
      </c>
    </row>
    <row r="58" spans="2:9">
      <c r="B58" t="s">
        <v>299</v>
      </c>
      <c r="C58" t="s">
        <v>112</v>
      </c>
      <c r="D58" t="s">
        <v>300</v>
      </c>
      <c r="E58" t="s">
        <v>11</v>
      </c>
      <c r="F58">
        <v>10</v>
      </c>
      <c r="H58">
        <v>10</v>
      </c>
      <c r="I58">
        <f>1</f>
        <v>1</v>
      </c>
    </row>
    <row r="59" spans="2:9">
      <c r="B59" t="s">
        <v>299</v>
      </c>
      <c r="C59" t="s">
        <v>112</v>
      </c>
      <c r="D59" t="s">
        <v>301</v>
      </c>
      <c r="E59" t="s">
        <v>11</v>
      </c>
      <c r="F59">
        <v>4.1500000000000004</v>
      </c>
      <c r="H59">
        <v>4.1500000000000004</v>
      </c>
      <c r="I59">
        <f t="shared" ref="I59" si="27">H59*H58</f>
        <v>41.5</v>
      </c>
    </row>
    <row r="60" spans="2:9">
      <c r="B60" t="s">
        <v>299</v>
      </c>
      <c r="C60" t="s">
        <v>113</v>
      </c>
      <c r="D60" t="s">
        <v>300</v>
      </c>
      <c r="E60" t="s">
        <v>11</v>
      </c>
      <c r="F60">
        <v>10</v>
      </c>
      <c r="H60">
        <v>10</v>
      </c>
      <c r="I60">
        <f>1</f>
        <v>1</v>
      </c>
    </row>
    <row r="61" spans="2:9">
      <c r="B61" t="s">
        <v>299</v>
      </c>
      <c r="C61" t="s">
        <v>113</v>
      </c>
      <c r="D61" t="s">
        <v>301</v>
      </c>
      <c r="E61" t="s">
        <v>11</v>
      </c>
      <c r="F61">
        <v>4.1500000000000004</v>
      </c>
      <c r="H61">
        <v>4.1500000000000004</v>
      </c>
      <c r="I61">
        <f t="shared" ref="I61" si="28">H61*H60</f>
        <v>41.5</v>
      </c>
    </row>
    <row r="62" spans="2:9">
      <c r="B62" t="s">
        <v>299</v>
      </c>
      <c r="C62" t="s">
        <v>126</v>
      </c>
      <c r="D62" t="s">
        <v>300</v>
      </c>
      <c r="E62" t="s">
        <v>11</v>
      </c>
      <c r="F62">
        <v>10</v>
      </c>
      <c r="H62">
        <v>10</v>
      </c>
      <c r="I62">
        <f>1</f>
        <v>1</v>
      </c>
    </row>
    <row r="63" spans="2:9">
      <c r="B63" t="s">
        <v>299</v>
      </c>
      <c r="C63" t="s">
        <v>126</v>
      </c>
      <c r="D63" t="s">
        <v>301</v>
      </c>
      <c r="E63" t="s">
        <v>11</v>
      </c>
      <c r="F63">
        <v>4500</v>
      </c>
      <c r="H63">
        <v>4500</v>
      </c>
      <c r="I63">
        <f t="shared" ref="I63" si="29">H63*H62</f>
        <v>45000</v>
      </c>
    </row>
    <row r="64" spans="2:9">
      <c r="B64" t="s">
        <v>299</v>
      </c>
      <c r="C64" t="s">
        <v>127</v>
      </c>
      <c r="D64" t="s">
        <v>300</v>
      </c>
      <c r="E64" t="s">
        <v>11</v>
      </c>
      <c r="F64">
        <v>10</v>
      </c>
      <c r="H64">
        <v>10</v>
      </c>
      <c r="I64">
        <f>1</f>
        <v>1</v>
      </c>
    </row>
    <row r="65" spans="2:9">
      <c r="B65" t="s">
        <v>299</v>
      </c>
      <c r="C65" t="s">
        <v>127</v>
      </c>
      <c r="D65" t="s">
        <v>301</v>
      </c>
      <c r="E65" t="s">
        <v>11</v>
      </c>
      <c r="F65">
        <v>4500</v>
      </c>
      <c r="H65">
        <v>4500</v>
      </c>
      <c r="I65">
        <f t="shared" ref="I65" si="30">H65*H64</f>
        <v>45000</v>
      </c>
    </row>
    <row r="66" spans="2:9">
      <c r="B66" t="s">
        <v>299</v>
      </c>
      <c r="C66" t="s">
        <v>128</v>
      </c>
      <c r="D66" t="s">
        <v>300</v>
      </c>
      <c r="E66" t="s">
        <v>11</v>
      </c>
      <c r="F66">
        <v>10</v>
      </c>
      <c r="H66">
        <v>10</v>
      </c>
      <c r="I66">
        <f>1</f>
        <v>1</v>
      </c>
    </row>
    <row r="67" spans="2:9">
      <c r="B67" t="s">
        <v>299</v>
      </c>
      <c r="C67" t="s">
        <v>128</v>
      </c>
      <c r="D67" t="s">
        <v>301</v>
      </c>
      <c r="E67" t="s">
        <v>11</v>
      </c>
      <c r="F67">
        <v>4500</v>
      </c>
      <c r="H67">
        <v>4500</v>
      </c>
      <c r="I67">
        <f t="shared" ref="I67" si="31">H67*H66</f>
        <v>45000</v>
      </c>
    </row>
    <row r="68" spans="2:9">
      <c r="B68" t="s">
        <v>299</v>
      </c>
      <c r="C68" t="s">
        <v>137</v>
      </c>
      <c r="D68" t="s">
        <v>300</v>
      </c>
      <c r="E68" t="s">
        <v>11</v>
      </c>
      <c r="F68">
        <v>44</v>
      </c>
      <c r="H68">
        <v>44</v>
      </c>
      <c r="I68">
        <f>1</f>
        <v>1</v>
      </c>
    </row>
    <row r="69" spans="2:9">
      <c r="B69" t="s">
        <v>299</v>
      </c>
      <c r="C69" t="s">
        <v>137</v>
      </c>
      <c r="D69" t="s">
        <v>301</v>
      </c>
      <c r="E69" t="s">
        <v>11</v>
      </c>
      <c r="F69">
        <v>2</v>
      </c>
      <c r="H69">
        <v>2</v>
      </c>
      <c r="I69">
        <f t="shared" ref="I69" si="32">H69*H68</f>
        <v>88</v>
      </c>
    </row>
    <row r="70" spans="2:9">
      <c r="B70" t="s">
        <v>299</v>
      </c>
      <c r="C70" t="s">
        <v>139</v>
      </c>
      <c r="D70" t="s">
        <v>300</v>
      </c>
      <c r="E70" t="s">
        <v>11</v>
      </c>
      <c r="F70">
        <v>279</v>
      </c>
      <c r="H70">
        <v>279</v>
      </c>
      <c r="I70">
        <f>1</f>
        <v>1</v>
      </c>
    </row>
    <row r="71" spans="2:9">
      <c r="B71" t="s">
        <v>299</v>
      </c>
      <c r="C71" t="s">
        <v>139</v>
      </c>
      <c r="D71" t="s">
        <v>301</v>
      </c>
      <c r="E71" t="s">
        <v>11</v>
      </c>
      <c r="F71">
        <v>2</v>
      </c>
      <c r="H71">
        <v>2</v>
      </c>
      <c r="I71">
        <f t="shared" ref="I71" si="33">H71*H70</f>
        <v>558</v>
      </c>
    </row>
    <row r="72" spans="2:9">
      <c r="B72" t="s">
        <v>299</v>
      </c>
      <c r="C72" t="s">
        <v>140</v>
      </c>
      <c r="D72" t="s">
        <v>300</v>
      </c>
      <c r="E72" t="s">
        <v>11</v>
      </c>
      <c r="F72">
        <v>71</v>
      </c>
      <c r="H72">
        <v>71</v>
      </c>
      <c r="I72">
        <f>1</f>
        <v>1</v>
      </c>
    </row>
    <row r="73" spans="2:9">
      <c r="B73" t="s">
        <v>299</v>
      </c>
      <c r="C73" t="s">
        <v>140</v>
      </c>
      <c r="D73" t="s">
        <v>301</v>
      </c>
      <c r="E73" t="s">
        <v>11</v>
      </c>
      <c r="F73">
        <v>2</v>
      </c>
      <c r="H73">
        <v>2</v>
      </c>
      <c r="I73">
        <f t="shared" ref="I73" si="34">H73*H72</f>
        <v>142</v>
      </c>
    </row>
    <row r="74" spans="2:9">
      <c r="B74" t="s">
        <v>299</v>
      </c>
      <c r="C74" t="s">
        <v>141</v>
      </c>
      <c r="D74" t="s">
        <v>300</v>
      </c>
      <c r="E74" t="s">
        <v>11</v>
      </c>
      <c r="F74">
        <v>530</v>
      </c>
      <c r="H74">
        <v>530</v>
      </c>
      <c r="I74">
        <f>1</f>
        <v>1</v>
      </c>
    </row>
    <row r="75" spans="2:9">
      <c r="B75" t="s">
        <v>299</v>
      </c>
      <c r="C75" t="s">
        <v>141</v>
      </c>
      <c r="D75" t="s">
        <v>301</v>
      </c>
      <c r="E75" t="s">
        <v>11</v>
      </c>
      <c r="F75">
        <v>2</v>
      </c>
      <c r="H75">
        <v>2</v>
      </c>
      <c r="I75">
        <f t="shared" ref="I75" si="35">H75*H74</f>
        <v>1060</v>
      </c>
    </row>
    <row r="76" spans="2:9">
      <c r="B76" t="s">
        <v>299</v>
      </c>
      <c r="C76" t="s">
        <v>142</v>
      </c>
      <c r="D76" t="s">
        <v>300</v>
      </c>
      <c r="E76" t="s">
        <v>11</v>
      </c>
      <c r="F76">
        <v>537</v>
      </c>
      <c r="H76">
        <v>537</v>
      </c>
      <c r="I76">
        <f>1</f>
        <v>1</v>
      </c>
    </row>
    <row r="77" spans="2:9">
      <c r="B77" t="s">
        <v>299</v>
      </c>
      <c r="C77" t="s">
        <v>142</v>
      </c>
      <c r="D77" t="s">
        <v>301</v>
      </c>
      <c r="E77" t="s">
        <v>11</v>
      </c>
      <c r="F77">
        <v>2</v>
      </c>
      <c r="H77">
        <v>2</v>
      </c>
      <c r="I77">
        <f t="shared" ref="I77" si="36">H77*H76</f>
        <v>1074</v>
      </c>
    </row>
    <row r="78" spans="2:9">
      <c r="B78" t="s">
        <v>299</v>
      </c>
      <c r="C78" t="s">
        <v>143</v>
      </c>
      <c r="D78" t="s">
        <v>300</v>
      </c>
      <c r="E78" t="s">
        <v>11</v>
      </c>
      <c r="F78">
        <v>1714</v>
      </c>
      <c r="H78">
        <v>1714</v>
      </c>
      <c r="I78">
        <f>1</f>
        <v>1</v>
      </c>
    </row>
    <row r="79" spans="2:9">
      <c r="B79" t="s">
        <v>299</v>
      </c>
      <c r="C79" t="s">
        <v>143</v>
      </c>
      <c r="D79" t="s">
        <v>301</v>
      </c>
      <c r="E79" t="s">
        <v>11</v>
      </c>
      <c r="F79">
        <v>2</v>
      </c>
      <c r="H79">
        <v>2</v>
      </c>
      <c r="I79">
        <f t="shared" ref="I79" si="37">H79*H78</f>
        <v>3428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D92D8-9CD4-4CD8-B097-902745E5FF68}">
  <dimension ref="A1:G4"/>
  <sheetViews>
    <sheetView workbookViewId="0">
      <selection activeCell="G3" sqref="G3"/>
    </sheetView>
  </sheetViews>
  <sheetFormatPr defaultRowHeight="15"/>
  <cols>
    <col min="2" max="2" width="57.7109375" bestFit="1" customWidth="1"/>
    <col min="7" max="7" width="21.85546875" customWidth="1"/>
  </cols>
  <sheetData>
    <row r="1" spans="1:7">
      <c r="F1" t="s">
        <v>302</v>
      </c>
      <c r="G1" t="s">
        <v>6</v>
      </c>
    </row>
    <row r="2" spans="1:7">
      <c r="A2" t="s">
        <v>160</v>
      </c>
      <c r="B2" t="s">
        <v>303</v>
      </c>
      <c r="C2" t="s">
        <v>304</v>
      </c>
      <c r="D2" t="s">
        <v>11</v>
      </c>
      <c r="E2">
        <v>4.9009999999999998E-2</v>
      </c>
      <c r="F2">
        <v>4.7579999999999997E-2</v>
      </c>
      <c r="G2" t="s">
        <v>305</v>
      </c>
    </row>
    <row r="3" spans="1:7">
      <c r="A3" t="s">
        <v>160</v>
      </c>
      <c r="B3" t="s">
        <v>306</v>
      </c>
      <c r="C3" t="s">
        <v>304</v>
      </c>
      <c r="D3" t="s">
        <v>11</v>
      </c>
      <c r="E3">
        <v>4.9009999999999998E-2</v>
      </c>
      <c r="F3">
        <v>4.7579999999999997E-2</v>
      </c>
    </row>
    <row r="4" spans="1:7">
      <c r="A4" t="s">
        <v>160</v>
      </c>
      <c r="B4" t="s">
        <v>307</v>
      </c>
      <c r="C4" t="s">
        <v>304</v>
      </c>
      <c r="D4" t="s">
        <v>11</v>
      </c>
      <c r="E4">
        <v>4.9009999999999998E-2</v>
      </c>
      <c r="F4">
        <v>4.7579999999999997E-2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MGA inv (single year)</vt:lpstr>
      <vt:lpstr>units(old)</vt:lpstr>
      <vt:lpstr>storages(old)</vt:lpstr>
      <vt:lpstr>Other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Huang  Jiangyi</dc:creator>
  <cp:keywords/>
  <dc:description/>
  <cp:lastModifiedBy>Huang  Jiangyi</cp:lastModifiedBy>
  <cp:revision/>
  <dcterms:created xsi:type="dcterms:W3CDTF">2015-06-05T18:19:34Z</dcterms:created>
  <dcterms:modified xsi:type="dcterms:W3CDTF">2026-06-19T15:31:58Z</dcterms:modified>
  <cp:category/>
  <cp:contentStatus/>
</cp:coreProperties>
</file>